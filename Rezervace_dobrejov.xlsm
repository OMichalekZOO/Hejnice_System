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jpeg" ContentType="image/jpe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tables/table1.xml" ContentType="application/vnd.openxmlformats-officedocument.spreadsheetml.table+xml"/>
  <Override PartName="/xl/drawings/drawing2.xml" ContentType="application/vnd.openxmlformats-officedocument.drawing+xml"/>
  <Override PartName="/xl/tables/table2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51196F13-6AD0-C1B8-E2B4-A1F9AE17003E}"/>
  <workbookPr filterPrivacy="1" showInkAnnotation="0" codeName="ThisWorkbook"/>
  <bookViews>
    <workbookView xWindow="0" yWindow="0" windowWidth="11496" windowHeight="7632" activeTab="1"/>
  </bookViews>
  <sheets>
    <sheet name="Rezervace" sheetId="6" r:id="rId1"/>
    <sheet name="Kalendář" sheetId="3" r:id="rId2"/>
    <sheet name="Nastavení" sheetId="7" r:id="rId3"/>
  </sheets>
  <functionGroups builtInGroupCount="18"/>
  <definedNames>
    <definedName name="ColumnTitle1">Assignments[[#Headers],[JMÉNO A PŘÍJMENÍ]]</definedName>
    <definedName name="LastDay_Week">MAX(#REF!)</definedName>
    <definedName name="LastDayOfMonth_Week">DAY(EOMONTH(DATE(#REF!,WkMonthNum,1),0))</definedName>
    <definedName name="MoMonth">Kalendář!$B$2</definedName>
    <definedName name="MoMonthNum">MONTH(DATEVALUE(MoMonth&amp;" 1"))</definedName>
    <definedName name="MoWeek2">Kalendář!$B$9:$H$12</definedName>
    <definedName name="MoWeek3">Kalendář!$B$13:$H$16</definedName>
    <definedName name="MoWeek4">Kalendář!$B$17:$H$20</definedName>
    <definedName name="MoWeek5">Kalendář!$B$21:$H$24</definedName>
    <definedName name="MoYear">Kalendář!$C$2</definedName>
    <definedName name="_xlnm.Print_Titles" localSheetId="0">Rezervace!$2:$2</definedName>
    <definedName name="WkMonth">#REF!</definedName>
    <definedName name="WkMonthNum">MONTH(DATEVALUE([0]!WkMonth&amp;" 1"))</definedName>
    <definedName name="WkMonthView">#REF!</definedName>
    <definedName name="WkWeek">RIGHT(#REF!,1)</definedName>
  </definedNames>
  <calcPr calcId="162913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C2" i="3" l="1"/>
  <c r="B5" i="3" l="1"/>
  <c r="T5" i="3" s="1"/>
  <c r="L5" i="3" l="1"/>
  <c r="C5" i="3"/>
  <c r="M5" i="3" l="1"/>
  <c r="V5" i="3"/>
  <c r="T8" i="3" a="1"/>
  <c r="T8" i="3" s="1"/>
  <c r="U8" i="3" a="1"/>
  <c r="U8" i="3" s="1"/>
  <c r="T7" i="3" a="1"/>
  <c r="T7" i="3" s="1"/>
  <c r="U7" i="3" a="1"/>
  <c r="U7" i="3" s="1"/>
  <c r="T6" i="3" a="1"/>
  <c r="T6" i="3" s="1"/>
  <c r="U6" i="3" a="1"/>
  <c r="U6" i="3" s="1"/>
  <c r="L7" i="3"/>
  <c r="B7" i="3" s="1"/>
  <c r="L8" i="3"/>
  <c r="B8" i="3" s="1"/>
  <c r="L6" i="3"/>
  <c r="B6" i="3" s="1"/>
  <c r="D5" i="3"/>
  <c r="X5" i="3" s="1"/>
  <c r="M7" i="3" l="1"/>
  <c r="C7" i="3" s="1"/>
  <c r="W7" i="3" a="1"/>
  <c r="W7" i="3" s="1"/>
  <c r="V7" i="3" a="1"/>
  <c r="V7" i="3" s="1"/>
  <c r="W6" i="3" a="1"/>
  <c r="W6" i="3" s="1"/>
  <c r="M8" i="3"/>
  <c r="C8" i="3" s="1"/>
  <c r="W8" i="3" a="1"/>
  <c r="W8" i="3" s="1"/>
  <c r="M6" i="3"/>
  <c r="C6" i="3" s="1"/>
  <c r="V8" i="3" a="1"/>
  <c r="V8" i="3" s="1"/>
  <c r="V6" i="3" a="1"/>
  <c r="V6" i="3" s="1"/>
  <c r="N5" i="3"/>
  <c r="E5" i="3"/>
  <c r="O5" i="3" l="1"/>
  <c r="Z5" i="3"/>
  <c r="N6" i="3"/>
  <c r="D6" i="3" s="1"/>
  <c r="N8" i="3"/>
  <c r="D8" i="3" s="1"/>
  <c r="N7" i="3"/>
  <c r="D7" i="3" s="1"/>
  <c r="X6" i="3" a="1"/>
  <c r="X6" i="3" s="1"/>
  <c r="X8" i="3" a="1"/>
  <c r="X8" i="3" s="1"/>
  <c r="X7" i="3" a="1"/>
  <c r="X7" i="3" s="1"/>
  <c r="Y8" i="3" a="1"/>
  <c r="Y8" i="3" s="1"/>
  <c r="Y6" i="3" a="1"/>
  <c r="Y6" i="3" s="1"/>
  <c r="Y7" i="3" a="1"/>
  <c r="Y7" i="3" s="1"/>
  <c r="F5" i="3"/>
  <c r="AB5" i="3" l="1"/>
  <c r="O8" i="3"/>
  <c r="E8" i="3" s="1"/>
  <c r="O7" i="3"/>
  <c r="E7" i="3" s="1"/>
  <c r="AA6" i="3" a="1"/>
  <c r="AA6" i="3" s="1"/>
  <c r="AA8" i="3" a="1"/>
  <c r="AA8" i="3" s="1"/>
  <c r="O6" i="3"/>
  <c r="E6" i="3" s="1"/>
  <c r="Z6" i="3" a="1"/>
  <c r="Z6" i="3" s="1"/>
  <c r="Z8" i="3" a="1"/>
  <c r="Z8" i="3" s="1"/>
  <c r="Z7" i="3" a="1"/>
  <c r="Z7" i="3" s="1"/>
  <c r="AA7" i="3" a="1"/>
  <c r="AA7" i="3" s="1"/>
  <c r="P5" i="3"/>
  <c r="G5" i="3"/>
  <c r="AC6" i="3" l="1" a="1"/>
  <c r="AC6" i="3" s="1"/>
  <c r="Q5" i="3"/>
  <c r="AE6" i="3" s="1" a="1"/>
  <c r="AE6" i="3" s="1"/>
  <c r="AD5" i="3"/>
  <c r="P6" i="3"/>
  <c r="F6" i="3" s="1"/>
  <c r="P8" i="3"/>
  <c r="F8" i="3" s="1"/>
  <c r="P7" i="3"/>
  <c r="F7" i="3" s="1"/>
  <c r="AB6" i="3" a="1"/>
  <c r="AB6" i="3" s="1"/>
  <c r="AB8" i="3" a="1"/>
  <c r="AB8" i="3" s="1"/>
  <c r="AC7" i="3" a="1"/>
  <c r="AC7" i="3" s="1"/>
  <c r="AB7" i="3" a="1"/>
  <c r="AB7" i="3" s="1"/>
  <c r="AC8" i="3" a="1"/>
  <c r="AC8" i="3" s="1"/>
  <c r="H5" i="3"/>
  <c r="AF5" i="3" s="1"/>
  <c r="AD6" i="3" l="1" a="1"/>
  <c r="AD6" i="3" s="1"/>
  <c r="Q6" i="3"/>
  <c r="G6" i="3" s="1"/>
  <c r="Q8" i="3"/>
  <c r="G8" i="3" s="1"/>
  <c r="Q7" i="3"/>
  <c r="G7" i="3" s="1"/>
  <c r="AD8" i="3" a="1"/>
  <c r="AD8" i="3" s="1"/>
  <c r="AD7" i="3" a="1"/>
  <c r="AD7" i="3" s="1"/>
  <c r="AE7" i="3" a="1"/>
  <c r="AE7" i="3" s="1"/>
  <c r="AE8" i="3" a="1"/>
  <c r="AE8" i="3" s="1"/>
  <c r="R5" i="3"/>
  <c r="B9" i="3"/>
  <c r="T9" i="3" s="1"/>
  <c r="AF6" i="3" l="1" a="1"/>
  <c r="AF6" i="3" s="1"/>
  <c r="AG6" i="3" a="1"/>
  <c r="AG6" i="3" s="1"/>
  <c r="AG8" i="3" a="1"/>
  <c r="AG8" i="3" s="1"/>
  <c r="AG7" i="3" a="1"/>
  <c r="AG7" i="3" s="1"/>
  <c r="AF7" i="3" a="1"/>
  <c r="AF7" i="3" s="1"/>
  <c r="AF8" i="3" a="1"/>
  <c r="AF8" i="3" s="1"/>
  <c r="R6" i="3"/>
  <c r="H6" i="3" s="1"/>
  <c r="R8" i="3"/>
  <c r="H8" i="3" s="1"/>
  <c r="R7" i="3"/>
  <c r="H7" i="3" s="1"/>
  <c r="L9" i="3"/>
  <c r="C9" i="3"/>
  <c r="D9" i="3" l="1"/>
  <c r="X9" i="3" s="1"/>
  <c r="V9" i="3"/>
  <c r="T10" i="3" a="1"/>
  <c r="T10" i="3" s="1"/>
  <c r="U12" i="3" a="1"/>
  <c r="U12" i="3" s="1"/>
  <c r="U11" i="3" a="1"/>
  <c r="U11" i="3" s="1"/>
  <c r="U10" i="3" a="1"/>
  <c r="U10" i="3" s="1"/>
  <c r="T12" i="3" a="1"/>
  <c r="T12" i="3" s="1"/>
  <c r="T11" i="3" a="1"/>
  <c r="T11" i="3" s="1"/>
  <c r="M9" i="3"/>
  <c r="L11" i="3"/>
  <c r="B11" i="3" s="1"/>
  <c r="L10" i="3"/>
  <c r="L12" i="3"/>
  <c r="B12" i="3" s="1"/>
  <c r="N9" i="3" l="1"/>
  <c r="Y12" i="3" s="1" a="1"/>
  <c r="Y12" i="3" s="1"/>
  <c r="E9" i="3"/>
  <c r="Z9" i="3" s="1"/>
  <c r="W10" i="3" a="1"/>
  <c r="W10" i="3" s="1"/>
  <c r="W12" i="3" a="1"/>
  <c r="W12" i="3" s="1"/>
  <c r="V10" i="3" a="1"/>
  <c r="V10" i="3" s="1"/>
  <c r="W11" i="3" a="1"/>
  <c r="W11" i="3" s="1"/>
  <c r="V12" i="3" a="1"/>
  <c r="V12" i="3" s="1"/>
  <c r="V11" i="3" a="1"/>
  <c r="V11" i="3" s="1"/>
  <c r="B10" i="3"/>
  <c r="M12" i="3"/>
  <c r="C12" i="3" s="1"/>
  <c r="M11" i="3"/>
  <c r="C11" i="3" s="1"/>
  <c r="M10" i="3"/>
  <c r="O9" i="3" l="1"/>
  <c r="F9" i="3"/>
  <c r="AB9" i="3" s="1"/>
  <c r="N10" i="3"/>
  <c r="D10" i="3" s="1"/>
  <c r="Y10" i="3" a="1"/>
  <c r="Y10" i="3" s="1"/>
  <c r="X12" i="3" a="1"/>
  <c r="X12" i="3" s="1"/>
  <c r="N12" i="3"/>
  <c r="D12" i="3" s="1"/>
  <c r="X11" i="3" a="1"/>
  <c r="X11" i="3" s="1"/>
  <c r="X10" i="3" a="1"/>
  <c r="X10" i="3" s="1"/>
  <c r="N11" i="3"/>
  <c r="D11" i="3" s="1"/>
  <c r="Y11" i="3" a="1"/>
  <c r="Y11" i="3" s="1"/>
  <c r="C10" i="3"/>
  <c r="AA12" i="3" l="1" a="1"/>
  <c r="AA12" i="3" s="1"/>
  <c r="Z10" i="3" a="1"/>
  <c r="Z10" i="3" s="1"/>
  <c r="O10" i="3"/>
  <c r="E10" i="3" s="1"/>
  <c r="O11" i="3"/>
  <c r="E11" i="3" s="1"/>
  <c r="AA11" i="3" a="1"/>
  <c r="AA11" i="3" s="1"/>
  <c r="Z11" i="3" a="1"/>
  <c r="Z11" i="3" s="1"/>
  <c r="O12" i="3"/>
  <c r="E12" i="3" s="1"/>
  <c r="Z12" i="3" a="1"/>
  <c r="Z12" i="3" s="1"/>
  <c r="AA10" i="3" a="1"/>
  <c r="AA10" i="3" s="1"/>
  <c r="G9" i="3"/>
  <c r="AD9" i="3" s="1"/>
  <c r="P9" i="3"/>
  <c r="AC10" i="3" l="1" a="1"/>
  <c r="AC10" i="3" s="1"/>
  <c r="H9" i="3"/>
  <c r="AF9" i="3" s="1"/>
  <c r="P12" i="3"/>
  <c r="F12" i="3" s="1"/>
  <c r="P11" i="3"/>
  <c r="F11" i="3" s="1"/>
  <c r="P10" i="3"/>
  <c r="F10" i="3" s="1"/>
  <c r="AC12" i="3" a="1"/>
  <c r="AC12" i="3" s="1"/>
  <c r="AB10" i="3" a="1"/>
  <c r="AB10" i="3" s="1"/>
  <c r="AB12" i="3" a="1"/>
  <c r="AB12" i="3" s="1"/>
  <c r="AB11" i="3" a="1"/>
  <c r="AB11" i="3" s="1"/>
  <c r="AC11" i="3" a="1"/>
  <c r="AC11" i="3" s="1"/>
  <c r="Q9" i="3"/>
  <c r="AE10" i="3" l="1" a="1"/>
  <c r="AE10" i="3" s="1"/>
  <c r="AD10" i="3" a="1"/>
  <c r="AD10" i="3" s="1"/>
  <c r="AD11" i="3" a="1"/>
  <c r="AD11" i="3" s="1"/>
  <c r="Q11" i="3"/>
  <c r="G11" i="3" s="1"/>
  <c r="Q12" i="3"/>
  <c r="G12" i="3" s="1"/>
  <c r="B13" i="3"/>
  <c r="T13" i="3" s="1"/>
  <c r="AE11" i="3" a="1"/>
  <c r="AE11" i="3" s="1"/>
  <c r="AE12" i="3" a="1"/>
  <c r="AE12" i="3" s="1"/>
  <c r="R9" i="3"/>
  <c r="AD12" i="3" a="1"/>
  <c r="AD12" i="3" s="1"/>
  <c r="Q10" i="3"/>
  <c r="G10" i="3" s="1"/>
  <c r="AG10" i="3" l="1" a="1"/>
  <c r="AG10" i="3" s="1"/>
  <c r="AF10" i="3" a="1"/>
  <c r="AF10" i="3" s="1"/>
  <c r="L13" i="3"/>
  <c r="C13" i="3"/>
  <c r="V13" i="3" s="1"/>
  <c r="R11" i="3"/>
  <c r="H11" i="3" s="1"/>
  <c r="AG11" i="3" a="1"/>
  <c r="AG11" i="3" s="1"/>
  <c r="AF12" i="3" a="1"/>
  <c r="AF12" i="3" s="1"/>
  <c r="AG12" i="3" a="1"/>
  <c r="AG12" i="3" s="1"/>
  <c r="R12" i="3"/>
  <c r="H12" i="3" s="1"/>
  <c r="R10" i="3"/>
  <c r="H10" i="3" s="1"/>
  <c r="AF11" i="3" a="1"/>
  <c r="AF11" i="3" s="1"/>
  <c r="L15" i="3" l="1"/>
  <c r="B15" i="3" s="1"/>
  <c r="L16" i="3"/>
  <c r="B16" i="3" s="1"/>
  <c r="L14" i="3"/>
  <c r="B14" i="3" s="1"/>
  <c r="T16" i="3" a="1"/>
  <c r="T16" i="3" s="1"/>
  <c r="T15" i="3" a="1"/>
  <c r="T15" i="3" s="1"/>
  <c r="U16" i="3" a="1"/>
  <c r="U16" i="3" s="1"/>
  <c r="D13" i="3"/>
  <c r="X13" i="3" s="1"/>
  <c r="M13" i="3"/>
  <c r="W14" i="3" s="1" a="1"/>
  <c r="W14" i="3" s="1"/>
  <c r="U15" i="3" a="1"/>
  <c r="U15" i="3" s="1"/>
  <c r="T14" i="3" a="1"/>
  <c r="T14" i="3" s="1"/>
  <c r="U14" i="3" a="1"/>
  <c r="U14" i="3" s="1"/>
  <c r="M15" i="3" l="1"/>
  <c r="C15" i="3" s="1"/>
  <c r="V16" i="3" a="1"/>
  <c r="V16" i="3" s="1"/>
  <c r="M14" i="3"/>
  <c r="C14" i="3" s="1"/>
  <c r="M16" i="3"/>
  <c r="C16" i="3" s="1"/>
  <c r="E13" i="3"/>
  <c r="Z13" i="3" s="1"/>
  <c r="W15" i="3" a="1"/>
  <c r="W15" i="3" s="1"/>
  <c r="V15" i="3" a="1"/>
  <c r="V15" i="3" s="1"/>
  <c r="V14" i="3" a="1"/>
  <c r="V14" i="3" s="1"/>
  <c r="W16" i="3" a="1"/>
  <c r="W16" i="3" s="1"/>
  <c r="N13" i="3"/>
  <c r="X16" i="3" s="1" a="1"/>
  <c r="X16" i="3" s="1"/>
  <c r="F13" i="3" l="1"/>
  <c r="AB13" i="3" s="1"/>
  <c r="O13" i="3"/>
  <c r="AA16" i="3" s="1" a="1"/>
  <c r="AA16" i="3" s="1"/>
  <c r="N14" i="3"/>
  <c r="D14" i="3" s="1"/>
  <c r="Y16" i="3" a="1"/>
  <c r="Y16" i="3" s="1"/>
  <c r="N15" i="3"/>
  <c r="D15" i="3" s="1"/>
  <c r="N16" i="3"/>
  <c r="D16" i="3" s="1"/>
  <c r="Y15" i="3" a="1"/>
  <c r="Y15" i="3" s="1"/>
  <c r="X15" i="3" a="1"/>
  <c r="X15" i="3" s="1"/>
  <c r="X14" i="3" a="1"/>
  <c r="X14" i="3" s="1"/>
  <c r="Y14" i="3" a="1"/>
  <c r="Y14" i="3" s="1"/>
  <c r="P13" i="3" l="1"/>
  <c r="AC14" i="3" s="1" a="1"/>
  <c r="AC14" i="3" s="1"/>
  <c r="G13" i="3"/>
  <c r="AD13" i="3" s="1"/>
  <c r="O16" i="3"/>
  <c r="E16" i="3" s="1"/>
  <c r="O14" i="3"/>
  <c r="E14" i="3" s="1"/>
  <c r="Z16" i="3" a="1"/>
  <c r="Z16" i="3" s="1"/>
  <c r="Z14" i="3" a="1"/>
  <c r="Z14" i="3" s="1"/>
  <c r="O15" i="3"/>
  <c r="E15" i="3" s="1"/>
  <c r="AA15" i="3" a="1"/>
  <c r="AA15" i="3" s="1"/>
  <c r="AA14" i="3" a="1"/>
  <c r="AA14" i="3" s="1"/>
  <c r="Z15" i="3" a="1"/>
  <c r="Z15" i="3" s="1"/>
  <c r="AC15" i="3" l="1" a="1"/>
  <c r="AC15" i="3" s="1"/>
  <c r="AB14" i="3" a="1"/>
  <c r="AB14" i="3" s="1"/>
  <c r="P14" i="3"/>
  <c r="F14" i="3" s="1"/>
  <c r="P15" i="3"/>
  <c r="F15" i="3" s="1"/>
  <c r="AB16" i="3" a="1"/>
  <c r="AB16" i="3" s="1"/>
  <c r="AB15" i="3" a="1"/>
  <c r="AB15" i="3" s="1"/>
  <c r="P16" i="3"/>
  <c r="F16" i="3" s="1"/>
  <c r="AC16" i="3" a="1"/>
  <c r="AC16" i="3" s="1"/>
  <c r="Q13" i="3"/>
  <c r="AD14" i="3" s="1" a="1"/>
  <c r="AD14" i="3" s="1"/>
  <c r="H13" i="3"/>
  <c r="AF13" i="3" s="1"/>
  <c r="B17" i="3" l="1"/>
  <c r="T17" i="3" s="1"/>
  <c r="Q15" i="3"/>
  <c r="G15" i="3" s="1"/>
  <c r="Q16" i="3"/>
  <c r="G16" i="3" s="1"/>
  <c r="Q14" i="3"/>
  <c r="G14" i="3" s="1"/>
  <c r="AE16" i="3" a="1"/>
  <c r="AE16" i="3" s="1"/>
  <c r="AE14" i="3" a="1"/>
  <c r="AE14" i="3" s="1"/>
  <c r="AE15" i="3" a="1"/>
  <c r="AE15" i="3" s="1"/>
  <c r="AD16" i="3" a="1"/>
  <c r="AD16" i="3" s="1"/>
  <c r="AD15" i="3" a="1"/>
  <c r="AD15" i="3" s="1"/>
  <c r="R13" i="3"/>
  <c r="L17" i="3" l="1"/>
  <c r="T19" i="3" s="1" a="1"/>
  <c r="T19" i="3" s="1"/>
  <c r="AF14" i="3" a="1"/>
  <c r="AF14" i="3" s="1"/>
  <c r="C17" i="3"/>
  <c r="V17" i="3" s="1"/>
  <c r="AF16" i="3" a="1"/>
  <c r="AF16" i="3" s="1"/>
  <c r="AG16" i="3" a="1"/>
  <c r="AG16" i="3" s="1"/>
  <c r="AG15" i="3" a="1"/>
  <c r="AG15" i="3" s="1"/>
  <c r="AG14" i="3" a="1"/>
  <c r="AG14" i="3" s="1"/>
  <c r="R15" i="3"/>
  <c r="H15" i="3" s="1"/>
  <c r="R16" i="3"/>
  <c r="H16" i="3" s="1"/>
  <c r="AF15" i="3" a="1"/>
  <c r="AF15" i="3" s="1"/>
  <c r="R14" i="3"/>
  <c r="H14" i="3" s="1"/>
  <c r="U18" i="3" l="1" a="1"/>
  <c r="U18" i="3" s="1"/>
  <c r="M17" i="3"/>
  <c r="V18" i="3" s="1" a="1"/>
  <c r="V18" i="3" s="1"/>
  <c r="D17" i="3"/>
  <c r="X17" i="3" s="1"/>
  <c r="L20" i="3"/>
  <c r="B20" i="3" s="1"/>
  <c r="L19" i="3"/>
  <c r="B19" i="3" s="1"/>
  <c r="T18" i="3" a="1"/>
  <c r="T18" i="3" s="1"/>
  <c r="L18" i="3"/>
  <c r="B18" i="3" s="1"/>
  <c r="T20" i="3" a="1"/>
  <c r="T20" i="3" s="1"/>
  <c r="U20" i="3" a="1"/>
  <c r="U20" i="3" s="1"/>
  <c r="U19" i="3" a="1"/>
  <c r="U19" i="3" s="1"/>
  <c r="W18" i="3" l="1" a="1"/>
  <c r="W18" i="3" s="1"/>
  <c r="E17" i="3"/>
  <c r="Z17" i="3" s="1"/>
  <c r="N17" i="3"/>
  <c r="M20" i="3"/>
  <c r="C20" i="3" s="1"/>
  <c r="M19" i="3"/>
  <c r="C19" i="3" s="1"/>
  <c r="M18" i="3"/>
  <c r="C18" i="3" s="1"/>
  <c r="V20" i="3" a="1"/>
  <c r="V20" i="3" s="1"/>
  <c r="V19" i="3" a="1"/>
  <c r="V19" i="3" s="1"/>
  <c r="W19" i="3" a="1"/>
  <c r="W19" i="3" s="1"/>
  <c r="W20" i="3" a="1"/>
  <c r="W20" i="3" s="1"/>
  <c r="X18" i="3" l="1" a="1"/>
  <c r="X18" i="3" s="1"/>
  <c r="X20" i="3" a="1"/>
  <c r="X20" i="3" s="1"/>
  <c r="Y20" i="3" a="1"/>
  <c r="Y20" i="3" s="1"/>
  <c r="N19" i="3"/>
  <c r="D19" i="3" s="1"/>
  <c r="N18" i="3"/>
  <c r="D18" i="3" s="1"/>
  <c r="N20" i="3"/>
  <c r="D20" i="3" s="1"/>
  <c r="X19" i="3" a="1"/>
  <c r="X19" i="3" s="1"/>
  <c r="Y19" i="3" a="1"/>
  <c r="Y19" i="3" s="1"/>
  <c r="Y18" i="3" a="1"/>
  <c r="Y18" i="3" s="1"/>
  <c r="F17" i="3"/>
  <c r="AB17" i="3" s="1"/>
  <c r="O17" i="3"/>
  <c r="Z18" i="3" l="1" a="1"/>
  <c r="Z18" i="3" s="1"/>
  <c r="AA19" i="3" a="1"/>
  <c r="AA19" i="3" s="1"/>
  <c r="Z20" i="3" a="1"/>
  <c r="Z20" i="3" s="1"/>
  <c r="Z19" i="3" a="1"/>
  <c r="Z19" i="3" s="1"/>
  <c r="AA20" i="3" a="1"/>
  <c r="AA20" i="3" s="1"/>
  <c r="AA18" i="3" a="1"/>
  <c r="AA18" i="3" s="1"/>
  <c r="P17" i="3"/>
  <c r="AC18" i="3" s="1" a="1"/>
  <c r="AC18" i="3" s="1"/>
  <c r="G17" i="3"/>
  <c r="AD17" i="3" s="1"/>
  <c r="O19" i="3"/>
  <c r="E19" i="3" s="1"/>
  <c r="O18" i="3"/>
  <c r="E18" i="3" s="1"/>
  <c r="O20" i="3"/>
  <c r="E20" i="3" s="1"/>
  <c r="AC19" i="3" l="1" a="1"/>
  <c r="AC19" i="3" s="1"/>
  <c r="Q17" i="3"/>
  <c r="AE18" i="3" s="1" a="1"/>
  <c r="AE18" i="3" s="1"/>
  <c r="AB20" i="3" a="1"/>
  <c r="AB20" i="3" s="1"/>
  <c r="AB19" i="3" a="1"/>
  <c r="AB19" i="3" s="1"/>
  <c r="AC20" i="3" a="1"/>
  <c r="AC20" i="3" s="1"/>
  <c r="H17" i="3"/>
  <c r="AF17" i="3" s="1"/>
  <c r="P19" i="3"/>
  <c r="F19" i="3" s="1"/>
  <c r="P20" i="3"/>
  <c r="F20" i="3" s="1"/>
  <c r="P18" i="3"/>
  <c r="F18" i="3" s="1"/>
  <c r="AB18" i="3" a="1"/>
  <c r="AB18" i="3" s="1"/>
  <c r="AD18" i="3" l="1" a="1"/>
  <c r="AD18" i="3" s="1"/>
  <c r="AD20" i="3" a="1"/>
  <c r="AD20" i="3" s="1"/>
  <c r="Q20" i="3"/>
  <c r="G20" i="3" s="1"/>
  <c r="Q19" i="3"/>
  <c r="G19" i="3" s="1"/>
  <c r="B21" i="3"/>
  <c r="T21" i="3" s="1"/>
  <c r="R17" i="3"/>
  <c r="Q18" i="3"/>
  <c r="G18" i="3" s="1"/>
  <c r="AD19" i="3" a="1"/>
  <c r="AD19" i="3" s="1"/>
  <c r="AE20" i="3" a="1"/>
  <c r="AE20" i="3" s="1"/>
  <c r="AE19" i="3" a="1"/>
  <c r="AE19" i="3" s="1"/>
  <c r="AF18" i="3" l="1" a="1"/>
  <c r="AF18" i="3" s="1"/>
  <c r="AG18" i="3" a="1"/>
  <c r="AG18" i="3" s="1"/>
  <c r="L21" i="3"/>
  <c r="U22" i="3" s="1" a="1"/>
  <c r="U22" i="3" s="1"/>
  <c r="R20" i="3"/>
  <c r="H20" i="3" s="1"/>
  <c r="R18" i="3"/>
  <c r="H18" i="3" s="1"/>
  <c r="R19" i="3"/>
  <c r="H19" i="3" s="1"/>
  <c r="AG19" i="3" a="1"/>
  <c r="AG19" i="3" s="1"/>
  <c r="AF20" i="3" a="1"/>
  <c r="AF20" i="3" s="1"/>
  <c r="AF19" i="3" a="1"/>
  <c r="AF19" i="3" s="1"/>
  <c r="C21" i="3"/>
  <c r="V21" i="3" s="1"/>
  <c r="AG20" i="3" a="1"/>
  <c r="AG20" i="3" s="1"/>
  <c r="T24" i="3" l="1" a="1"/>
  <c r="T24" i="3" s="1"/>
  <c r="L24" i="3"/>
  <c r="B24" i="3" s="1"/>
  <c r="L23" i="3"/>
  <c r="B23" i="3" s="1"/>
  <c r="U24" i="3" a="1"/>
  <c r="U24" i="3" s="1"/>
  <c r="U23" i="3" a="1"/>
  <c r="U23" i="3" s="1"/>
  <c r="L22" i="3"/>
  <c r="B22" i="3" s="1"/>
  <c r="T23" i="3" a="1"/>
  <c r="T23" i="3" s="1"/>
  <c r="T22" i="3" a="1"/>
  <c r="T22" i="3" s="1"/>
  <c r="M21" i="3"/>
  <c r="D21" i="3"/>
  <c r="X21" i="3" s="1"/>
  <c r="M22" i="3" l="1"/>
  <c r="C22" i="3" s="1"/>
  <c r="V24" i="3" a="1"/>
  <c r="V24" i="3" s="1"/>
  <c r="V23" i="3" a="1"/>
  <c r="V23" i="3" s="1"/>
  <c r="V22" i="3" a="1"/>
  <c r="V22" i="3" s="1"/>
  <c r="W23" i="3" a="1"/>
  <c r="W23" i="3" s="1"/>
  <c r="M24" i="3"/>
  <c r="C24" i="3" s="1"/>
  <c r="M23" i="3"/>
  <c r="C23" i="3" s="1"/>
  <c r="W24" i="3" a="1"/>
  <c r="W24" i="3" s="1"/>
  <c r="W22" i="3" a="1"/>
  <c r="W22" i="3" s="1"/>
  <c r="E21" i="3"/>
  <c r="Z21" i="3" s="1"/>
  <c r="N21" i="3"/>
  <c r="N22" i="3" s="1"/>
  <c r="D22" i="3" s="1"/>
  <c r="N24" i="3" l="1"/>
  <c r="D24" i="3" s="1"/>
  <c r="F21" i="3"/>
  <c r="AB21" i="3" s="1"/>
  <c r="Y23" i="3" a="1"/>
  <c r="Y23" i="3" s="1"/>
  <c r="O21" i="3"/>
  <c r="Z22" i="3" s="1" a="1"/>
  <c r="Z22" i="3" s="1"/>
  <c r="X23" i="3" a="1"/>
  <c r="X23" i="3" s="1"/>
  <c r="N23" i="3"/>
  <c r="D23" i="3" s="1"/>
  <c r="X22" i="3" a="1"/>
  <c r="X22" i="3" s="1"/>
  <c r="Y22" i="3" a="1"/>
  <c r="Y22" i="3" s="1"/>
  <c r="X24" i="3" a="1"/>
  <c r="X24" i="3" s="1"/>
  <c r="Y24" i="3" a="1"/>
  <c r="Y24" i="3" s="1"/>
  <c r="P21" i="3" l="1"/>
  <c r="AC22" i="3" s="1" a="1"/>
  <c r="AC22" i="3" s="1"/>
  <c r="G21" i="3"/>
  <c r="AD21" i="3" s="1"/>
  <c r="Z23" i="3" a="1"/>
  <c r="Z23" i="3" s="1"/>
  <c r="O22" i="3"/>
  <c r="E22" i="3" s="1"/>
  <c r="O23" i="3"/>
  <c r="E23" i="3" s="1"/>
  <c r="O24" i="3"/>
  <c r="E24" i="3" s="1"/>
  <c r="AA23" i="3" a="1"/>
  <c r="AA23" i="3" s="1"/>
  <c r="AA22" i="3" a="1"/>
  <c r="AA22" i="3" s="1"/>
  <c r="Z24" i="3" a="1"/>
  <c r="Z24" i="3" s="1"/>
  <c r="AA24" i="3" a="1"/>
  <c r="AA24" i="3" s="1"/>
  <c r="AC23" i="3" l="1" a="1"/>
  <c r="AC23" i="3" s="1"/>
  <c r="AB22" i="3" a="1"/>
  <c r="AB22" i="3" s="1"/>
  <c r="AC24" i="3" a="1"/>
  <c r="AC24" i="3" s="1"/>
  <c r="P22" i="3"/>
  <c r="F22" i="3" s="1"/>
  <c r="P24" i="3"/>
  <c r="F24" i="3" s="1"/>
  <c r="AB24" i="3" a="1"/>
  <c r="AB24" i="3" s="1"/>
  <c r="P23" i="3"/>
  <c r="F23" i="3" s="1"/>
  <c r="AB23" i="3" a="1"/>
  <c r="AB23" i="3" s="1"/>
  <c r="Q21" i="3"/>
  <c r="H21" i="3"/>
  <c r="AF21" i="3" s="1"/>
  <c r="R21" i="3" l="1"/>
  <c r="Q22" i="3"/>
  <c r="G22" i="3" s="1"/>
  <c r="Q23" i="3"/>
  <c r="G23" i="3" s="1"/>
  <c r="AD24" i="3" a="1"/>
  <c r="AD24" i="3" s="1"/>
  <c r="AE23" i="3" a="1"/>
  <c r="AE23" i="3" s="1"/>
  <c r="AE22" i="3" a="1"/>
  <c r="AE22" i="3" s="1"/>
  <c r="AD23" i="3" a="1"/>
  <c r="AD23" i="3" s="1"/>
  <c r="AD22" i="3" a="1"/>
  <c r="AD22" i="3" s="1"/>
  <c r="Q24" i="3"/>
  <c r="G24" i="3" s="1"/>
  <c r="AE24" i="3" a="1"/>
  <c r="AE24" i="3" s="1"/>
  <c r="B25" i="3"/>
  <c r="T25" i="3" s="1"/>
  <c r="AF22" i="3" a="1"/>
  <c r="AF22" i="3" s="1"/>
  <c r="AG22" i="3" a="1"/>
  <c r="AG22" i="3" s="1"/>
  <c r="R23" i="3" l="1"/>
  <c r="H23" i="3" s="1"/>
  <c r="R24" i="3"/>
  <c r="H24" i="3" s="1"/>
  <c r="AG23" i="3" a="1"/>
  <c r="AG23" i="3" s="1"/>
  <c r="R22" i="3"/>
  <c r="H22" i="3" s="1"/>
  <c r="AG24" i="3" a="1"/>
  <c r="AG24" i="3" s="1"/>
  <c r="AF23" i="3" a="1"/>
  <c r="AF23" i="3" s="1"/>
  <c r="AF24" i="3" a="1"/>
  <c r="AF24" i="3" s="1"/>
  <c r="L25" i="3"/>
  <c r="L26" i="3" s="1"/>
  <c r="B26" i="3" s="1"/>
  <c r="C25" i="3"/>
  <c r="V25" i="3" s="1"/>
  <c r="M25" i="3" l="1"/>
  <c r="V27" i="3" s="1" a="1"/>
  <c r="V27" i="3" s="1"/>
  <c r="D25" i="3"/>
  <c r="X25" i="3" s="1"/>
  <c r="L28" i="3"/>
  <c r="B28" i="3" s="1"/>
  <c r="L27" i="3"/>
  <c r="B27" i="3" s="1"/>
  <c r="T27" i="3" a="1"/>
  <c r="T27" i="3" s="1"/>
  <c r="U26" i="3" a="1"/>
  <c r="U26" i="3" s="1"/>
  <c r="U28" i="3" a="1"/>
  <c r="U28" i="3" s="1"/>
  <c r="T26" i="3" a="1"/>
  <c r="T26" i="3" s="1"/>
  <c r="U27" i="3" a="1"/>
  <c r="U27" i="3" s="1"/>
  <c r="T28" i="3" a="1"/>
  <c r="T28" i="3" s="1"/>
  <c r="N25" i="3"/>
  <c r="W28" i="3" l="1" a="1"/>
  <c r="W28" i="3" s="1"/>
  <c r="M28" i="3"/>
  <c r="C28" i="3" s="1"/>
  <c r="M26" i="3"/>
  <c r="C26" i="3" s="1"/>
  <c r="M27" i="3"/>
  <c r="C27" i="3" s="1"/>
  <c r="V28" i="3" a="1"/>
  <c r="V28" i="3" s="1"/>
  <c r="E25" i="3"/>
  <c r="Z25" i="3" s="1"/>
  <c r="W27" i="3" a="1"/>
  <c r="W27" i="3" s="1"/>
  <c r="W26" i="3" a="1"/>
  <c r="W26" i="3" s="1"/>
  <c r="V26" i="3" a="1"/>
  <c r="V26" i="3" s="1"/>
  <c r="Y26" i="3" a="1"/>
  <c r="Y26" i="3" s="1"/>
  <c r="Y28" i="3" a="1"/>
  <c r="Y28" i="3" s="1"/>
  <c r="X28" i="3" a="1"/>
  <c r="X28" i="3" s="1"/>
  <c r="Y27" i="3" a="1"/>
  <c r="Y27" i="3" s="1"/>
  <c r="X26" i="3" a="1"/>
  <c r="X26" i="3" s="1"/>
  <c r="X27" i="3" a="1"/>
  <c r="X27" i="3" s="1"/>
  <c r="N26" i="3"/>
  <c r="D26" i="3" s="1"/>
  <c r="N28" i="3"/>
  <c r="D28" i="3" s="1"/>
  <c r="N27" i="3"/>
  <c r="D27" i="3" s="1"/>
  <c r="O25" i="3" l="1"/>
  <c r="F25" i="3"/>
  <c r="AB25" i="3" s="1"/>
  <c r="P25" i="3" l="1"/>
  <c r="AC26" i="3" s="1" a="1"/>
  <c r="AC26" i="3" s="1"/>
  <c r="AA27" i="3" a="1"/>
  <c r="AA27" i="3" s="1"/>
  <c r="G25" i="3"/>
  <c r="AD25" i="3" s="1"/>
  <c r="Z28" i="3" a="1"/>
  <c r="Z28" i="3" s="1"/>
  <c r="O26" i="3"/>
  <c r="E26" i="3" s="1"/>
  <c r="O28" i="3"/>
  <c r="E28" i="3" s="1"/>
  <c r="O27" i="3"/>
  <c r="E27" i="3" s="1"/>
  <c r="Z27" i="3" a="1"/>
  <c r="Z27" i="3" s="1"/>
  <c r="AA26" i="3" a="1"/>
  <c r="AA26" i="3" s="1"/>
  <c r="Z26" i="3" a="1"/>
  <c r="Z26" i="3" s="1"/>
  <c r="AA28" i="3" a="1"/>
  <c r="AA28" i="3" s="1"/>
  <c r="H25" i="3" l="1"/>
  <c r="AF25" i="3" s="1"/>
  <c r="AB26" i="3" a="1"/>
  <c r="AB26" i="3" s="1"/>
  <c r="AC28" i="3" a="1"/>
  <c r="AC28" i="3" s="1"/>
  <c r="P26" i="3"/>
  <c r="F26" i="3" s="1"/>
  <c r="AC27" i="3" a="1"/>
  <c r="AC27" i="3" s="1"/>
  <c r="AB27" i="3" a="1"/>
  <c r="AB27" i="3" s="1"/>
  <c r="AB28" i="3" a="1"/>
  <c r="AB28" i="3" s="1"/>
  <c r="P28" i="3"/>
  <c r="F28" i="3" s="1"/>
  <c r="P27" i="3"/>
  <c r="F27" i="3" s="1"/>
  <c r="Q25" i="3"/>
  <c r="AD26" i="3" s="1" a="1"/>
  <c r="AD26" i="3" s="1"/>
  <c r="R25" i="3" l="1"/>
  <c r="AG28" i="3" s="1" a="1"/>
  <c r="AG28" i="3" s="1"/>
  <c r="Q27" i="3"/>
  <c r="G27" i="3" s="1"/>
  <c r="AE27" i="3" a="1"/>
  <c r="AE27" i="3" s="1"/>
  <c r="Q26" i="3"/>
  <c r="G26" i="3" s="1"/>
  <c r="AD28" i="3" a="1"/>
  <c r="AD28" i="3" s="1"/>
  <c r="AE28" i="3" a="1"/>
  <c r="AE28" i="3" s="1"/>
  <c r="AD27" i="3" a="1"/>
  <c r="AD27" i="3" s="1"/>
  <c r="AE26" i="3" a="1"/>
  <c r="AE26" i="3" s="1"/>
  <c r="Q28" i="3"/>
  <c r="G28" i="3" s="1"/>
  <c r="R26" i="3" l="1"/>
  <c r="H26" i="3" s="1"/>
  <c r="R28" i="3"/>
  <c r="H28" i="3" s="1"/>
  <c r="R27" i="3"/>
  <c r="H27" i="3" s="1"/>
  <c r="AF28" i="3" a="1"/>
  <c r="AF28" i="3" s="1"/>
  <c r="AF26" i="3" a="1"/>
  <c r="AF26" i="3" s="1"/>
  <c r="AG26" i="3" a="1"/>
  <c r="AG26" i="3" s="1"/>
  <c r="AF27" i="3" a="1"/>
  <c r="AF27" i="3" s="1"/>
  <c r="AG27" i="3" a="1"/>
  <c r="AG27" i="3" s="1"/>
</calcChain>
</file>

<file path=xl/sharedStrings.xml><?xml version="1.0" encoding="utf-8"?>
<sst xmlns="http://schemas.openxmlformats.org/spreadsheetml/2006/main" count="96" uniqueCount="37">
  <si>
    <t>PONDĚLÍ</t>
  </si>
  <si>
    <t>ÚTERÝ</t>
  </si>
  <si>
    <t>STŘEDA</t>
  </si>
  <si>
    <t>ČTVRTEK</t>
  </si>
  <si>
    <t>PÁTEK</t>
  </si>
  <si>
    <t>SOBOTA</t>
  </si>
  <si>
    <t>NEDĚLE</t>
  </si>
  <si>
    <t>REZERVACE</t>
  </si>
  <si>
    <t>DATUM ODJEZDU</t>
  </si>
  <si>
    <t>DATUM PŘÍJEZDU</t>
  </si>
  <si>
    <t>KALENDÁŘ</t>
  </si>
  <si>
    <t>Vyberte měsíc:</t>
  </si>
  <si>
    <t>Zadejte rok:</t>
  </si>
  <si>
    <t>POČET NOCÍ</t>
  </si>
  <si>
    <t>POKOJ</t>
  </si>
  <si>
    <t>ID</t>
  </si>
  <si>
    <t>CENA</t>
  </si>
  <si>
    <t>Z</t>
  </si>
  <si>
    <t>N</t>
  </si>
  <si>
    <t>Pokoj č.1</t>
  </si>
  <si>
    <t>Pokoj č.2</t>
  </si>
  <si>
    <t>Pokoj č.3</t>
  </si>
  <si>
    <t>JMÉNO A PŘÍJMENÍ</t>
  </si>
  <si>
    <t>CENA Z</t>
  </si>
  <si>
    <t>CENA N</t>
  </si>
  <si>
    <t>CENY UBYTOVÁNÍ</t>
  </si>
  <si>
    <t>KALENDÁŘ DOBŘEJOV - OBSAZENOST</t>
  </si>
  <si>
    <t>KALENDÁŘ DOBŘEJOV - JMÉNA</t>
  </si>
  <si>
    <t>Test1</t>
  </si>
  <si>
    <t>DDDD</t>
  </si>
  <si>
    <t>WER12</t>
  </si>
  <si>
    <t>KLJLKJ</t>
  </si>
  <si>
    <t>Ondřej Michálek</t>
  </si>
  <si>
    <t>06.09.2025</t>
  </si>
  <si>
    <t>08.11.2025</t>
  </si>
  <si>
    <t>08.12.2025</t>
  </si>
  <si>
    <t>Září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</si>
</sst>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">
    <numFmt numFmtId="164" formatCode="#,##0\ &quot;Kč&quot;"/>
  </numFmts>
  <fonts count="18" x14ac:knownFonts="1">
    <font>
      <sz val="11"/>
      <color theme="1" tint="0.14993743705557422"/>
      <name val="Arial"/>
      <family val="2"/>
      <scheme val="minor"/>
    </font>
    <font>
      <b/>
      <sz val="11"/>
      <color theme="3"/>
      <name val="Arial"/>
      <family val="2"/>
      <scheme val="minor"/>
    </font>
    <font>
      <b/>
      <sz val="20"/>
      <color theme="0"/>
      <name val="Arial"/>
      <family val="2"/>
      <scheme val="major"/>
    </font>
    <font>
      <sz val="14"/>
      <color theme="0"/>
      <name val="Arial"/>
      <family val="2"/>
      <scheme val="minor"/>
    </font>
    <font>
      <sz val="14"/>
      <color theme="0"/>
      <name val="Arial"/>
      <family val="2"/>
      <scheme val="major"/>
    </font>
    <font>
      <sz val="11"/>
      <color theme="1" tint="0.14993743705557422"/>
      <name val="Arial"/>
      <family val="2"/>
      <scheme val="minor"/>
    </font>
    <font>
      <b/>
      <sz val="20"/>
      <color theme="0"/>
      <name val="Arial"/>
      <family val="2"/>
      <scheme val="minor"/>
    </font>
    <font>
      <sz val="11"/>
      <color theme="1" tint="0.14996795556505021"/>
      <name val="Arial"/>
      <family val="1"/>
      <scheme val="minor"/>
    </font>
    <font>
      <sz val="22"/>
      <color theme="4" tint="-0.24994659260841701"/>
      <name val="Arial"/>
      <family val="2"/>
      <scheme val="major"/>
    </font>
    <font>
      <sz val="22"/>
      <color theme="1" tint="0.499984740745262"/>
      <name val="Arial"/>
      <family val="2"/>
      <scheme val="major"/>
    </font>
    <font>
      <sz val="11"/>
      <color theme="1" tint="0.34998626667073579"/>
      <name val="Arial"/>
      <family val="1"/>
      <scheme val="minor"/>
    </font>
    <font>
      <b/>
      <sz val="20"/>
      <color theme="1"/>
      <name val="Arial"/>
      <family val="2"/>
      <scheme val="major"/>
    </font>
    <font>
      <u/>
      <sz val="11"/>
      <color theme="10"/>
      <name val="Arial"/>
      <family val="2"/>
      <scheme val="minor"/>
    </font>
    <font>
      <b/>
      <sz val="12"/>
      <color theme="0"/>
      <name val="Arial"/>
      <family val="2"/>
      <charset val="238"/>
      <scheme val="minor"/>
    </font>
    <font>
      <sz val="11"/>
      <color theme="1" tint="0.14993743705557422"/>
      <name val="Arial"/>
      <family val="2"/>
      <charset val="238"/>
      <scheme val="minor"/>
    </font>
    <font>
      <sz val="11"/>
      <color rgb="FFFFFFFF"/>
      <name val="Courier New"/>
      <family val="3"/>
      <charset val="238"/>
    </font>
    <font>
      <sz val="11"/>
      <color rgb="FF262626"/>
      <name val="Arial"/>
      <family val="2"/>
      <charset val="238"/>
    </font>
    <font>
      <b/>
      <sz val="20"/>
      <color theme="0"/>
      <name val="Arial"/>
      <family val="2"/>
      <charset val="238"/>
      <scheme val="major"/>
    </font>
  </fonts>
  <fills count="12">
    <fill>
      <patternFill patternType="none"/>
    </fill>
    <fill>
      <patternFill patternType="gray125"/>
    </fill>
    <fill>
      <patternFill patternType="solid">
        <fgColor theme="0" tint="-4.9989318521683403E-2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5"/>
        <bgColor theme="4"/>
      </patternFill>
    </fill>
    <fill>
      <patternFill patternType="solid">
        <fgColor theme="9"/>
        <bgColor indexed="64"/>
      </patternFill>
    </fill>
    <fill>
      <patternFill patternType="solid">
        <fgColor theme="8" tint="-0.24994659260841701"/>
        <bgColor indexed="64"/>
      </patternFill>
    </fill>
    <fill>
      <patternFill patternType="solid">
        <fgColor theme="0" tint="-0.14996795556505021"/>
        <bgColor indexed="64"/>
      </patternFill>
    </fill>
    <fill>
      <patternFill patternType="solid">
        <fgColor theme="9" tint="-0.24994659260841701"/>
        <bgColor indexed="64"/>
      </patternFill>
    </fill>
    <fill>
      <patternFill patternType="solid">
        <fgColor theme="8" tint="-0.499984740745262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theme="0"/>
        <bgColor indexed="64"/>
      </patternFill>
    </fill>
  </fills>
  <borders count="9">
    <border>
      <left/>
      <right/>
      <top/>
      <bottom/>
      <diagonal/>
    </border>
    <border>
      <left style="thick">
        <color theme="0"/>
      </left>
      <right style="thick">
        <color theme="0"/>
      </right>
      <top style="thick">
        <color theme="0"/>
      </top>
      <bottom style="thick">
        <color theme="0"/>
      </bottom>
      <diagonal/>
    </border>
    <border>
      <left/>
      <right style="thin">
        <color theme="0"/>
      </right>
      <top style="thick">
        <color theme="0"/>
      </top>
      <bottom/>
      <diagonal/>
    </border>
    <border>
      <left style="thin">
        <color theme="0" tint="-0.14996795556505021"/>
      </left>
      <right style="thin">
        <color theme="0" tint="-0.14996795556505021"/>
      </right>
      <top style="thin">
        <color theme="0" tint="-0.14996795556505021"/>
      </top>
      <bottom/>
      <diagonal/>
    </border>
    <border>
      <left style="thin">
        <color theme="0" tint="-0.14996795556505021"/>
      </left>
      <right style="thin">
        <color theme="0" tint="-0.14996795556505021"/>
      </right>
      <top/>
      <bottom/>
      <diagonal/>
    </border>
    <border>
      <left style="thin">
        <color theme="0" tint="-0.14996795556505021"/>
      </left>
      <right style="thin">
        <color theme="0" tint="-0.14996795556505021"/>
      </right>
      <top/>
      <bottom style="thin">
        <color theme="0" tint="-0.14996795556505021"/>
      </bottom>
      <diagonal/>
    </border>
    <border>
      <left/>
      <right style="thick">
        <color theme="0"/>
      </right>
      <top/>
      <bottom style="thick">
        <color theme="0"/>
      </bottom>
      <diagonal/>
    </border>
    <border>
      <left style="thick">
        <color theme="0"/>
      </left>
      <right/>
      <top/>
      <bottom style="thick">
        <color theme="0"/>
      </bottom>
      <diagonal/>
    </border>
    <border>
      <left/>
      <right/>
      <top style="thick">
        <color theme="0"/>
      </top>
      <bottom style="thick">
        <color theme="0"/>
      </bottom>
      <diagonal/>
    </border>
  </borders>
  <cellStyleXfs count="20">
    <xf numFmtId="0" fontId="0" fillId="0" borderId="0"/>
    <xf numFmtId="0" fontId="1" fillId="7" borderId="0" applyNumberFormat="0" applyBorder="0" applyAlignment="0" applyProtection="0"/>
    <xf numFmtId="0" fontId="2" fillId="3" borderId="8" applyNumberFormat="0" applyAlignment="0" applyProtection="0"/>
    <xf numFmtId="0" fontId="2" fillId="5" borderId="8" applyNumberFormat="0" applyAlignment="0" applyProtection="0"/>
    <xf numFmtId="0" fontId="6" fillId="6" borderId="8" applyNumberFormat="0" applyAlignment="0" applyProtection="0"/>
    <xf numFmtId="0" fontId="11" fillId="0" borderId="0" applyNumberFormat="0" applyFill="0" applyBorder="0" applyAlignment="0" applyProtection="0"/>
    <xf numFmtId="0" fontId="4" fillId="4" borderId="6" applyNumberFormat="0" applyAlignment="0">
      <alignment horizontal="left" vertical="center"/>
    </xf>
    <xf numFmtId="0" fontId="3" fillId="8" borderId="6" applyNumberFormat="0" applyAlignment="0">
      <alignment horizontal="center" vertical="center"/>
    </xf>
    <xf numFmtId="0" fontId="3" fillId="9" borderId="7" applyNumberFormat="0" applyAlignment="0">
      <alignment horizontal="center" vertical="center"/>
    </xf>
    <xf numFmtId="14" fontId="5" fillId="0" borderId="0">
      <alignment horizontal="right" vertical="center" indent="2"/>
    </xf>
    <xf numFmtId="0" fontId="5" fillId="0" borderId="0">
      <alignment horizontal="left" vertical="center" wrapText="1" indent="1"/>
    </xf>
    <xf numFmtId="0" fontId="8" fillId="0" borderId="3">
      <alignment vertical="center"/>
    </xf>
    <xf numFmtId="0" fontId="7" fillId="0" borderId="4">
      <alignment horizontal="center" vertical="center"/>
    </xf>
    <xf numFmtId="0" fontId="7" fillId="2" borderId="4">
      <alignment horizontal="center" vertical="center"/>
    </xf>
    <xf numFmtId="0" fontId="8" fillId="2" borderId="3">
      <alignment vertical="center"/>
    </xf>
    <xf numFmtId="0" fontId="4" fillId="8" borderId="2">
      <alignment horizontal="left" vertical="center" indent="1"/>
    </xf>
    <xf numFmtId="0" fontId="4" fillId="9" borderId="2">
      <alignment horizontal="left" vertical="center" indent="1"/>
    </xf>
    <xf numFmtId="0" fontId="9" fillId="2" borderId="4">
      <alignment vertical="center"/>
    </xf>
    <xf numFmtId="0" fontId="10" fillId="2" borderId="5">
      <alignment horizontal="center" vertical="center"/>
    </xf>
    <xf numFmtId="0" fontId="12" fillId="0" borderId="0" applyNumberFormat="0" applyFill="0" applyBorder="0" applyAlignment="0" applyProtection="0"/>
  </cellStyleXfs>
  <cellXfs count="29">
    <xf numFmtId="0" fontId="0" fillId="0" borderId="0" xfId="0"/>
    <xf numFmtId="14" fontId="0" fillId="0" borderId="0" xfId="0" applyNumberFormat="1" applyAlignment="1">
      <alignment horizontal="right" vertical="center" indent="2"/>
    </xf>
    <xf numFmtId="14" fontId="2" fillId="3" borderId="8" xfId="2" applyNumberFormat="1" applyAlignment="1">
      <alignment vertical="center"/>
    </xf>
    <xf numFmtId="0" fontId="4" fillId="8" borderId="2" xfId="15">
      <alignment horizontal="left" vertical="center" indent="1"/>
    </xf>
    <xf numFmtId="0" fontId="2" fillId="5" borderId="8" xfId="3" applyAlignment="1">
      <alignment horizontal="left" vertical="center"/>
    </xf>
    <xf numFmtId="0" fontId="13" fillId="4" borderId="6" xfId="19" applyFont="1" applyFill="1" applyBorder="1" applyAlignment="1">
      <alignment horizontal="center" vertical="center"/>
    </xf>
    <xf numFmtId="14" fontId="0" fillId="0" borderId="0" xfId="0" applyNumberFormat="1"/>
    <xf numFmtId="0" fontId="14" fillId="0" borderId="0" xfId="0" applyFont="1" applyAlignment="1">
      <alignment vertical="center"/>
    </xf>
    <xf numFmtId="0" fontId="2" fillId="5" borderId="8" xfId="3"/>
    <xf numFmtId="0" fontId="15" fillId="0" borderId="0" xfId="0" applyFont="1"/>
    <xf numFmtId="14" fontId="14" fillId="0" borderId="0" xfId="0" applyNumberFormat="1" applyFont="1" applyAlignment="1">
      <alignment vertical="center"/>
    </xf>
    <xf numFmtId="0" fontId="10" fillId="11" borderId="5" xfId="18" applyFill="1">
      <alignment horizontal="center" vertical="center"/>
    </xf>
    <xf numFmtId="0" fontId="10" fillId="2" borderId="5" xfId="18">
      <alignment horizontal="center" vertical="center"/>
    </xf>
    <xf numFmtId="0" fontId="8" fillId="2" borderId="3" xfId="14" applyProtection="1">
      <alignment vertical="center"/>
    </xf>
    <xf numFmtId="0" fontId="10" fillId="11" borderId="5" xfId="18" applyFill="1" applyProtection="1">
      <alignment horizontal="center" vertical="center"/>
    </xf>
    <xf numFmtId="0" fontId="9" fillId="2" borderId="4" xfId="17" applyProtection="1">
      <alignment vertical="center"/>
    </xf>
    <xf numFmtId="0" fontId="1" fillId="7" borderId="1" xfId="1" applyBorder="1" applyAlignment="1" applyProtection="1">
      <alignment horizontal="left" vertical="center" indent="1"/>
      <protection locked="0"/>
    </xf>
    <xf numFmtId="1" fontId="5" fillId="0" borderId="0" xfId="10" applyNumberFormat="1" applyFill="1" applyProtection="1">
      <alignment horizontal="left" vertical="center" wrapText="1" indent="1"/>
      <protection locked="0"/>
    </xf>
    <xf numFmtId="0" fontId="5" fillId="0" borderId="0" xfId="10" applyFill="1" applyProtection="1">
      <alignment horizontal="left" vertical="center" wrapText="1" indent="1"/>
      <protection locked="0"/>
    </xf>
    <xf numFmtId="14" fontId="5" fillId="0" borderId="0" xfId="9" applyFill="1" applyAlignment="1" applyProtection="1">
      <alignment horizontal="center" vertical="center"/>
      <protection locked="0"/>
    </xf>
    <xf numFmtId="0" fontId="14" fillId="0" borderId="0" xfId="0" applyFont="1" applyAlignment="1">
      <alignment horizontal="left" vertical="center"/>
    </xf>
    <xf numFmtId="164" fontId="0" fillId="0" borderId="0" xfId="0" applyNumberFormat="1"/>
    <xf numFmtId="0" fontId="14" fillId="0" borderId="0" xfId="0" applyNumberFormat="1" applyFont="1" applyAlignment="1" applyProtection="1">
      <alignment horizontal="center"/>
      <protection locked="0"/>
    </xf>
    <xf numFmtId="0" fontId="14" fillId="0" borderId="0" xfId="0" applyFont="1" applyAlignment="1" applyProtection="1">
      <alignment vertical="center"/>
      <protection locked="0"/>
    </xf>
    <xf numFmtId="14" fontId="2" fillId="3" borderId="8" xfId="2" applyNumberFormat="1" applyAlignment="1">
      <alignment horizontal="left" vertical="center"/>
    </xf>
    <xf numFmtId="0" fontId="2" fillId="10" borderId="8" xfId="2" applyFill="1" applyAlignment="1" applyProtection="1">
      <alignment horizontal="center" vertical="center"/>
      <protection locked="0"/>
    </xf>
    <xf numFmtId="0" fontId="8" fillId="2" borderId="3" xfId="14" applyNumberFormat="1">
      <alignment vertical="center"/>
    </xf>
    <xf numFmtId="0" fontId="4" fillId="8" borderId="2" xfId="15">
      <alignment horizontal="left" vertical="center" indent="1"/>
    </xf>
    <xf numFmtId="0" fontId="17" fillId="4" borderId="6" xfId="6" applyFont="1" applyAlignment="1">
      <alignment vertical="center"/>
    </xf>
  </cellXfs>
  <cellStyles count="20">
    <cellStyle name="Assignment Color" xfId="6"/>
    <cellStyle name="Assignment Description" xfId="10"/>
    <cellStyle name="Daily note" xfId="12"/>
    <cellStyle name="Date" xfId="9"/>
    <cellStyle name="Day" xfId="11"/>
    <cellStyle name="Day Note Shaded" xfId="13"/>
    <cellStyle name="Day Shaded" xfId="14"/>
    <cellStyle name="Hypertextový odkaz" xfId="19" builtinId="8"/>
    <cellStyle name="Month View" xfId="7"/>
    <cellStyle name="Month View Weekday" xfId="15"/>
    <cellStyle name="Nadpis 1" xfId="2" builtinId="16" customBuiltin="1"/>
    <cellStyle name="Nadpis 2" xfId="3" builtinId="17" customBuiltin="1"/>
    <cellStyle name="Nadpis 3" xfId="4" builtinId="18" customBuiltin="1"/>
    <cellStyle name="Nadpis 4" xfId="1" builtinId="19" customBuiltin="1"/>
    <cellStyle name="Název" xfId="5" builtinId="15" customBuiltin="1"/>
    <cellStyle name="Normální" xfId="0" builtinId="0" customBuiltin="1"/>
    <cellStyle name="Week View" xfId="8"/>
    <cellStyle name="Week View day note shaded" xfId="18"/>
    <cellStyle name="Week View Day shade" xfId="17"/>
    <cellStyle name="Week View weekday" xfId="16"/>
  </cellStyles>
  <dxfs count="32">
    <dxf>
      <numFmt numFmtId="164" formatCode="#,##0\ &quot;Kč&quot;"/>
    </dxf>
    <dxf>
      <numFmt numFmtId="164" formatCode="#,##0\ &quot;Kč&quot;"/>
    </dxf>
    <dxf>
      <font>
        <b val="0"/>
      </font>
      <alignment horizontal="left" vertical="center" textRotation="0" wrapText="0" indent="0" justifyLastLine="0" shrinkToFit="0" readingOrder="0"/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 patternType="none">
          <fgColor indexed="64"/>
          <bgColor indexed="65"/>
        </patternFill>
      </fill>
    </dxf>
    <dxf>
      <protection locked="0" hidden="0"/>
    </dxf>
    <dxf>
      <fill>
        <patternFill patternType="none">
          <fgColor indexed="64"/>
          <bgColor indexed="65"/>
        </patternFill>
      </fill>
    </dxf>
    <dxf>
      <protection locked="0" hidden="0"/>
    </dxf>
    <dxf>
      <fill>
        <patternFill patternType="none">
          <fgColor indexed="64"/>
          <bgColor indexed="65"/>
        </patternFill>
      </fill>
    </dxf>
    <dxf>
      <protection locked="0" hidden="0"/>
    </dxf>
    <dxf>
      <protection locked="0" hidden="0"/>
    </dxf>
    <dxf>
      <numFmt numFmtId="0" formatCode="General"/>
    </dxf>
    <dxf>
      <numFmt numFmtId="0" formatCode="General"/>
      <alignment horizontal="center" vertical="bottom" textRotation="0" wrapText="0" indent="0" justifyLastLine="0" shrinkToFit="0" readingOrder="0"/>
      <protection locked="0" hidden="0"/>
    </dxf>
    <dxf>
      <fill>
        <patternFill patternType="none">
          <fgColor indexed="64"/>
          <bgColor indexed="65"/>
        </patternFill>
      </fill>
    </dxf>
    <dxf>
      <alignment horizontal="center" vertical="center" textRotation="0" wrapText="0" indent="0" justifyLastLine="0" shrinkToFit="0" readingOrder="0"/>
      <protection locked="0" hidden="0"/>
    </dxf>
    <dxf>
      <fill>
        <patternFill patternType="none">
          <fgColor indexed="64"/>
          <bgColor indexed="65"/>
        </patternFill>
      </fill>
    </dxf>
    <dxf>
      <alignment horizontal="center" vertical="center" textRotation="0" wrapText="0" indent="0" justifyLastLine="0" shrinkToFit="0" readingOrder="0"/>
      <protection locked="0" hidden="0"/>
    </dxf>
    <dxf>
      <fill>
        <patternFill patternType="none">
          <fgColor indexed="64"/>
          <bgColor indexed="65"/>
        </patternFill>
      </fill>
    </dxf>
    <dxf>
      <protection locked="0" hidden="0"/>
    </dxf>
    <dxf>
      <fill>
        <patternFill patternType="none">
          <fgColor indexed="64"/>
          <bgColor indexed="65"/>
        </patternFill>
      </fill>
    </dxf>
    <dxf>
      <numFmt numFmtId="1" formatCode="0"/>
      <protection locked="0" hidden="0"/>
    </dxf>
    <dxf>
      <protection locked="0" hidden="0"/>
    </dxf>
    <dxf>
      <font>
        <b val="0"/>
      </font>
      <alignment horizontal="general" vertical="center" textRotation="0" wrapText="0" indent="0" justifyLastLine="0" shrinkToFit="0" readingOrder="0"/>
    </dxf>
    <dxf>
      <font>
        <b val="0"/>
        <i val="0"/>
        <color theme="1" tint="0.14996795556505021"/>
      </font>
      <fill>
        <patternFill patternType="none">
          <fgColor auto="1"/>
          <bgColor auto="1"/>
        </patternFill>
      </fill>
    </dxf>
    <dxf>
      <font>
        <b val="0"/>
        <i val="0"/>
        <color theme="0"/>
      </font>
      <fill>
        <patternFill patternType="solid">
          <fgColor theme="5"/>
          <bgColor theme="5"/>
        </patternFill>
      </fill>
      <border>
        <left/>
        <right/>
        <top style="thick">
          <color theme="0"/>
        </top>
        <bottom/>
        <vertical style="thick">
          <color theme="0"/>
        </vertical>
        <horizontal/>
      </border>
    </dxf>
    <dxf>
      <font>
        <b val="0"/>
        <i val="0"/>
        <color theme="1" tint="0.14996795556505021"/>
      </font>
      <fill>
        <patternFill>
          <bgColor theme="0" tint="-4.9989318521683403E-2"/>
        </patternFill>
      </fill>
      <border diagonalUp="0" diagonalDown="0">
        <left/>
        <right/>
        <top style="thin">
          <color theme="0" tint="-0.14996795556505021"/>
        </top>
        <bottom style="thin">
          <color theme="0" tint="-0.14996795556505021"/>
        </bottom>
        <vertical style="thin">
          <color theme="0" tint="-0.14996795556505021"/>
        </vertical>
        <horizontal style="thin">
          <color theme="0" tint="-0.14996795556505021"/>
        </horizontal>
      </border>
    </dxf>
  </dxfs>
  <tableStyles count="1" defaultTableStyle="Student Planner" defaultPivotStyle="PivotStyleLight16">
    <tableStyle name="Student Planner" pivot="0" count="3">
      <tableStyleElement type="wholeTable" dxfId="31"/>
      <tableStyleElement type="headerRow" dxfId="30"/>
      <tableStyleElement type="firstRowStripe" dxfId="29"/>
    </tableStyle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ustomXml" Target="../customXml/item1.xml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11" Type="http://schemas.microsoft.com/office/2006/relationships/vbaProject" Target="vbaProject.bin"/><Relationship Id="rId5" Type="http://schemas.openxmlformats.org/officeDocument/2006/relationships/styles" Target="styles.xml"/><Relationship Id="rId10" Type="http://schemas.openxmlformats.org/officeDocument/2006/relationships/customXml" Target="../customXml/item3.xml"/><Relationship Id="rId4" Type="http://schemas.openxmlformats.org/officeDocument/2006/relationships/theme" Target="theme/theme1.xml"/><Relationship Id="rId9" Type="http://schemas.openxmlformats.org/officeDocument/2006/relationships/customXml" Target="../customXml/item2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3.png"/></Relationships>
</file>

<file path=xl/drawings/drawing1.xml><?xml version="1.0" encoding="utf-8"?>
<xdr:wsDr xmlns:xdr="http://schemas.openxmlformats.org/drawingml/2006/spreadsheetDrawing" xmlns:a="http://schemas.openxmlformats.org/drawingml/2006/main">
  <xdr:oneCellAnchor>
    <xdr:from>
      <xdr:col>9</xdr:col>
      <xdr:colOff>695325</xdr:colOff>
      <xdr:row>0</xdr:row>
      <xdr:rowOff>85725</xdr:rowOff>
    </xdr:from>
    <xdr:ext cx="266700" cy="266700"/>
    <xdr:pic>
      <xdr:nvPicPr>
        <xdr:cNvPr id="8" name="Assignment Icon" descr="Pencil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 bwMode="auto">
        <a:xfrm>
          <a:off x="9925050" y="85725"/>
          <a:ext cx="266700" cy="2667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76200</xdr:colOff>
          <xdr:row>0</xdr:row>
          <xdr:rowOff>60960</xdr:rowOff>
        </xdr:from>
        <xdr:to>
          <xdr:col>5</xdr:col>
          <xdr:colOff>1021080</xdr:colOff>
          <xdr:row>0</xdr:row>
          <xdr:rowOff>381000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cs-CZ" sz="1100" b="0" i="0" u="none" strike="noStrike" baseline="0">
                  <a:solidFill>
                    <a:srgbClr val="262626"/>
                  </a:solidFill>
                  <a:latin typeface="Arial"/>
                  <a:cs typeface="Arial"/>
                </a:rPr>
                <a:t>PŘIDAT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1074420</xdr:colOff>
          <xdr:row>0</xdr:row>
          <xdr:rowOff>60960</xdr:rowOff>
        </xdr:from>
        <xdr:to>
          <xdr:col>7</xdr:col>
          <xdr:colOff>7620</xdr:colOff>
          <xdr:row>0</xdr:row>
          <xdr:rowOff>381000</xdr:rowOff>
        </xdr:to>
        <xdr:sp macro="" textlink="">
          <xdr:nvSpPr>
            <xdr:cNvPr id="1029" name="Button 5" hidden="1">
              <a:extLst>
                <a:ext uri="{63B3BB69-23CF-44E3-9099-C40C66FF867C}">
                  <a14:compatExt spid="_x0000_s102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cs-CZ" sz="1100" b="0" i="0" u="none" strike="noStrike" baseline="0">
                  <a:solidFill>
                    <a:srgbClr val="262626"/>
                  </a:solidFill>
                  <a:latin typeface="Arial"/>
                  <a:cs typeface="Arial"/>
                </a:rPr>
                <a:t>UPRAVIT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68580</xdr:colOff>
          <xdr:row>0</xdr:row>
          <xdr:rowOff>60960</xdr:rowOff>
        </xdr:from>
        <xdr:to>
          <xdr:col>8</xdr:col>
          <xdr:colOff>297180</xdr:colOff>
          <xdr:row>0</xdr:row>
          <xdr:rowOff>381000</xdr:rowOff>
        </xdr:to>
        <xdr:sp macro="" textlink="">
          <xdr:nvSpPr>
            <xdr:cNvPr id="1030" name="Button 6" hidden="1">
              <a:extLst>
                <a:ext uri="{63B3BB69-23CF-44E3-9099-C40C66FF867C}">
                  <a14:compatExt spid="_x0000_s103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cs-CZ" sz="1100" b="0" i="0" u="none" strike="noStrike" baseline="0">
                  <a:solidFill>
                    <a:srgbClr val="262626"/>
                  </a:solidFill>
                  <a:latin typeface="Arial"/>
                  <a:cs typeface="Arial"/>
                </a:rPr>
                <a:t>POUKAZ</a:t>
              </a:r>
            </a:p>
            <a:p>
              <a:pPr algn="ctr" rtl="0">
                <a:defRPr sz="1000"/>
              </a:pPr>
              <a:endParaRPr lang="cs-CZ" sz="1100" b="0" i="0" u="none" strike="noStrike" baseline="0">
                <a:solidFill>
                  <a:srgbClr val="262626"/>
                </a:solidFill>
                <a:latin typeface="Arial"/>
                <a:cs typeface="Arial"/>
              </a:endParaRP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7</xdr:col>
      <xdr:colOff>1219200</xdr:colOff>
      <xdr:row>2</xdr:row>
      <xdr:rowOff>95250</xdr:rowOff>
    </xdr:from>
    <xdr:to>
      <xdr:col>7</xdr:col>
      <xdr:colOff>1485900</xdr:colOff>
      <xdr:row>2</xdr:row>
      <xdr:rowOff>361950</xdr:rowOff>
    </xdr:to>
    <xdr:pic>
      <xdr:nvPicPr>
        <xdr:cNvPr id="25" name="Month View Icon" descr="Calendar">
          <a:extLst>
            <a:ext uri="{FF2B5EF4-FFF2-40B4-BE49-F238E27FC236}">
              <a16:creationId xmlns:a16="http://schemas.microsoft.com/office/drawing/2014/main" id="{00000000-0008-0000-0100-000019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 bwMode="auto">
        <a:xfrm>
          <a:off x="11334750" y="1362075"/>
          <a:ext cx="266700" cy="2667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oneCellAnchor>
    <xdr:from>
      <xdr:col>32</xdr:col>
      <xdr:colOff>592667</xdr:colOff>
      <xdr:row>2</xdr:row>
      <xdr:rowOff>84667</xdr:rowOff>
    </xdr:from>
    <xdr:ext cx="266700" cy="266700"/>
    <xdr:pic>
      <xdr:nvPicPr>
        <xdr:cNvPr id="3" name="Month View Icon" descr="Calendar">
          <a:extLst>
            <a:ext uri="{FF2B5EF4-FFF2-40B4-BE49-F238E27FC236}">
              <a16:creationId xmlns:a16="http://schemas.microsoft.com/office/drawing/2014/main" id="{00000000-0008-0000-0100-000019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 bwMode="auto">
        <a:xfrm>
          <a:off x="34649834" y="783167"/>
          <a:ext cx="266700" cy="2667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</xdr:wsDr>
</file>

<file path=xl/tables/table1.xml><?xml version="1.0" encoding="utf-8"?>
<table xmlns="http://schemas.openxmlformats.org/spreadsheetml/2006/main" id="1" name="Assignments" displayName="Assignments" ref="B2:J11" totalsRowShown="0" headerRowDxfId="28" dataDxfId="27">
  <autoFilter ref="B2:J11"/>
  <sortState ref="B3:J17">
    <sortCondition ref="D2:D17"/>
  </sortState>
  <tableColumns count="9">
    <tableColumn id="6" name="ID" dataDxfId="26" totalsRowDxfId="25" dataCellStyle="Assignment Description"/>
    <tableColumn id="1" name="JMÉNO A PŘÍJMENÍ" dataDxfId="24" totalsRowDxfId="23" dataCellStyle="Assignment Description"/>
    <tableColumn id="2" name="DATUM PŘÍJEZDU" dataDxfId="22" totalsRowDxfId="21" dataCellStyle="Date"/>
    <tableColumn id="3" name="DATUM ODJEZDU" dataDxfId="20" totalsRowDxfId="19" dataCellStyle="Date"/>
    <tableColumn id="4" name="POČET NOCÍ" dataDxfId="18" totalsRowDxfId="17"/>
    <tableColumn id="5" name="POKOJ" dataDxfId="16"/>
    <tableColumn id="7" name="Z" dataDxfId="15" totalsRowDxfId="14"/>
    <tableColumn id="8" name="N" dataDxfId="13" totalsRowDxfId="12"/>
    <tableColumn id="9" name="CENA" dataDxfId="11" totalsRowDxfId="10"/>
  </tableColumns>
  <tableStyleInfo name="Student Planner" showFirstColumn="0" showLastColumn="0" showRowStripes="1" showColumnStripes="0"/>
  <extLst>
    <ext xmlns:x14="http://schemas.microsoft.com/office/spreadsheetml/2009/9/main" uri="{504A1905-F514-4f6f-8877-14C23A59335A}">
      <x14:table altTextSummary="List of assignments and their due date"/>
    </ext>
  </extLst>
</table>
</file>

<file path=xl/tables/table2.xml><?xml version="1.0" encoding="utf-8"?>
<table xmlns="http://schemas.openxmlformats.org/spreadsheetml/2006/main" id="2" name="Config" displayName="Config" ref="B2:D5" totalsRowShown="0" headerRowDxfId="2">
  <autoFilter ref="B2:D5"/>
  <tableColumns count="3">
    <tableColumn id="1" name="POKOJ"/>
    <tableColumn id="2" name="CENA Z" dataDxfId="1"/>
    <tableColumn id="3" name="CENA N" dataDxfId="0"/>
  </tableColumns>
  <tableStyleInfo name="Student Planner" showFirstColumn="0" showLastColumn="0" showRowStripes="1" showColumnStripes="0"/>
</table>
</file>

<file path=xl/theme/_rels/theme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theme/theme1.xml><?xml version="1.0" encoding="utf-8"?>
<a:theme xmlns:a="http://schemas.openxmlformats.org/drawingml/2006/main" name="Urban">
  <a:themeElements>
    <a:clrScheme name="Student Planner">
      <a:dk1>
        <a:srgbClr val="000000"/>
      </a:dk1>
      <a:lt1>
        <a:srgbClr val="FFFFFF"/>
      </a:lt1>
      <a:dk2>
        <a:srgbClr val="000000"/>
      </a:dk2>
      <a:lt2>
        <a:srgbClr val="FFFFFF"/>
      </a:lt2>
      <a:accent1>
        <a:srgbClr val="1EBBB6"/>
      </a:accent1>
      <a:accent2>
        <a:srgbClr val="73549A"/>
      </a:accent2>
      <a:accent3>
        <a:srgbClr val="B50B1B"/>
      </a:accent3>
      <a:accent4>
        <a:srgbClr val="E8950E"/>
      </a:accent4>
      <a:accent5>
        <a:srgbClr val="68B82B"/>
      </a:accent5>
      <a:accent6>
        <a:srgbClr val="1D86CD"/>
      </a:accent6>
      <a:hlink>
        <a:srgbClr val="1D86CD"/>
      </a:hlink>
      <a:folHlink>
        <a:srgbClr val="73549A"/>
      </a:folHlink>
    </a:clrScheme>
    <a:fontScheme name="Arial">
      <a:majorFont>
        <a:latin typeface="Arial" panose="020B0604020202020204"/>
        <a:ea typeface=""/>
        <a:cs typeface=""/>
        <a:font script="Jpan" typeface="ＭＳ Ｐゴシック"/>
        <a:font script="Hang" typeface="굴림"/>
        <a:font script="Hans" typeface="黑体"/>
        <a:font script="Hant" typeface="微軟正黑體"/>
        <a:font script="Arab" typeface="Arial"/>
        <a:font script="Hebr" typeface="Arial"/>
        <a:font script="Thai" typeface="Cordia New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ajorFont>
      <a:minorFont>
        <a:latin typeface="Arial" panose="020B0604020202020204"/>
        <a:ea typeface=""/>
        <a:cs typeface=""/>
        <a:font script="Jpan" typeface="ＭＳ Ｐゴシック"/>
        <a:font script="Hang" typeface="굴림"/>
        <a:font script="Hans" typeface="黑体"/>
        <a:font script="Hant" typeface="微軟正黑體"/>
        <a:font script="Arab" typeface="Arial"/>
        <a:font script="Hebr" typeface="Arial"/>
        <a:font script="Thai" typeface="Cordia New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Urban">
      <a:fillStyleLst>
        <a:solidFill>
          <a:schemeClr val="phClr"/>
        </a:solidFill>
        <a:gradFill rotWithShape="1">
          <a:gsLst>
            <a:gs pos="0">
              <a:schemeClr val="phClr">
                <a:tint val="1000"/>
                <a:satMod val="255000"/>
              </a:schemeClr>
            </a:gs>
            <a:gs pos="55000">
              <a:schemeClr val="phClr">
                <a:tint val="12000"/>
                <a:satMod val="255000"/>
              </a:schemeClr>
            </a:gs>
            <a:gs pos="100000">
              <a:schemeClr val="phClr">
                <a:tint val="45000"/>
                <a:satMod val="250000"/>
              </a:schemeClr>
            </a:gs>
          </a:gsLst>
          <a:path path="circle">
            <a:fillToRect l="-40000" t="-90000" r="140000" b="190000"/>
          </a:path>
        </a:gradFill>
        <a:gradFill rotWithShape="1">
          <a:gsLst>
            <a:gs pos="0">
              <a:schemeClr val="phClr">
                <a:tint val="43000"/>
                <a:satMod val="165000"/>
              </a:schemeClr>
            </a:gs>
            <a:gs pos="55000">
              <a:schemeClr val="phClr">
                <a:tint val="83000"/>
                <a:satMod val="155000"/>
              </a:schemeClr>
            </a:gs>
            <a:gs pos="100000">
              <a:schemeClr val="phClr">
                <a:shade val="85000"/>
              </a:schemeClr>
            </a:gs>
          </a:gsLst>
          <a:path path="circle">
            <a:fillToRect l="-40000" t="-90000" r="140000" b="190000"/>
          </a:path>
        </a:gradFill>
      </a:fillStyleLst>
      <a:lnStyleLst>
        <a:ln w="9525" cap="flat" cmpd="sng" algn="ctr">
          <a:solidFill>
            <a:schemeClr val="phClr"/>
          </a:solidFill>
          <a:prstDash val="solid"/>
        </a:ln>
        <a:ln w="19050" cap="flat" cmpd="sng" algn="ctr">
          <a:solidFill>
            <a:schemeClr val="phClr"/>
          </a:solidFill>
          <a:prstDash val="solid"/>
        </a:ln>
        <a:ln w="3175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51500" dist="25400" dir="5400000" rotWithShape="0">
              <a:srgbClr val="000000">
                <a:alpha val="40000"/>
              </a:srgbClr>
            </a:outerShdw>
          </a:effectLst>
        </a:effectStyle>
        <a:effectStyle>
          <a:effectLst>
            <a:outerShdw blurRad="50800" dist="25400" dir="5400000" rotWithShape="0">
              <a:srgbClr val="000000">
                <a:alpha val="45000"/>
              </a:srgbClr>
            </a:outerShdw>
          </a:effectLst>
        </a:effectStyle>
        <a:effectStyle>
          <a:effectLst>
            <a:outerShdw blurRad="50800" dist="25400" dir="5400000" rotWithShape="0">
              <a:srgbClr val="000000">
                <a:alpha val="45000"/>
              </a:srgbClr>
            </a:outerShdw>
          </a:effectLst>
          <a:scene3d>
            <a:camera prst="orthographicFront" fov="0">
              <a:rot lat="0" lon="0" rev="0"/>
            </a:camera>
            <a:lightRig rig="flat" dir="t">
              <a:rot lat="0" lon="0" rev="20040000"/>
            </a:lightRig>
          </a:scene3d>
          <a:sp3d contourW="12700" prstMaterial="dkEdge">
            <a:bevelT w="25400" h="38100" prst="convex"/>
            <a:contourClr>
              <a:schemeClr val="phClr">
                <a:satMod val="115000"/>
              </a:schemeClr>
            </a:contourClr>
          </a:sp3d>
        </a:effectStyle>
      </a:effectStyleLst>
      <a:bgFillStyleLst>
        <a:solidFill>
          <a:schemeClr val="phClr"/>
        </a:solidFill>
        <a:gradFill rotWithShape="1">
          <a:gsLst>
            <a:gs pos="100000">
              <a:schemeClr val="phClr">
                <a:tint val="80000"/>
                <a:satMod val="250000"/>
              </a:schemeClr>
            </a:gs>
            <a:gs pos="60000">
              <a:schemeClr val="phClr">
                <a:shade val="38000"/>
                <a:satMod val="175000"/>
              </a:schemeClr>
            </a:gs>
            <a:gs pos="0">
              <a:schemeClr val="phClr">
                <a:shade val="30000"/>
                <a:satMod val="175000"/>
              </a:schemeClr>
            </a:gs>
          </a:gsLst>
          <a:lin ang="5400000" scaled="0"/>
        </a:gradFill>
        <a:blipFill>
          <a:blip xmlns:r="http://schemas.openxmlformats.org/officeDocument/2006/relationships" r:embed="rId1">
            <a:duotone>
              <a:schemeClr val="phClr">
                <a:shade val="48000"/>
              </a:schemeClr>
              <a:schemeClr val="phClr">
                <a:tint val="96000"/>
                <a:satMod val="150000"/>
              </a:schemeClr>
            </a:duotone>
          </a:blip>
          <a:tile tx="0" ty="0" sx="80000" sy="80000" flip="none" algn="tl"/>
        </a:blip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openxmlformats.org/officeDocument/2006/relationships/table" Target="../tables/table1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>
    <tabColor theme="5"/>
    <pageSetUpPr autoPageBreaks="0"/>
  </sheetPr>
  <dimension ref="B1:J11"/>
  <sheetViews>
    <sheetView showGridLines="0" zoomScaleNormal="100" workbookViewId="0">
      <pane ySplit="2" topLeftCell="A3" activePane="bottomLeft" state="frozen"/>
      <selection pane="bottomLeft" activeCell="B3" sqref="B3"/>
    </sheetView>
  </sheetViews>
  <sheetFormatPr defaultRowHeight="30" customHeight="1" x14ac:dyDescent="0.25"/>
  <cols>
    <col min="1" max="1" width="2.59765625" customWidth="1"/>
    <col min="2" max="2" width="17.3984375" customWidth="1"/>
    <col min="3" max="3" width="20.09765625" style="1" bestFit="1" customWidth="1"/>
    <col min="4" max="4" width="18.5" bestFit="1" customWidth="1"/>
    <col min="5" max="5" width="18.3984375" bestFit="1" customWidth="1"/>
    <col min="6" max="6" width="14.3984375" bestFit="1" customWidth="1"/>
    <col min="7" max="7" width="11.69921875" bestFit="1" customWidth="1"/>
    <col min="10" max="10" width="13.5" bestFit="1" customWidth="1"/>
  </cols>
  <sheetData>
    <row r="1" spans="2:10" ht="35.1" customHeight="1" thickTop="1" thickBot="1" x14ac:dyDescent="0.3">
      <c r="B1" s="24" t="s">
        <v>7</v>
      </c>
      <c r="C1" s="24"/>
      <c r="D1" s="25" t="s">
        <v>10</v>
      </c>
      <c r="E1" s="25"/>
      <c r="F1" s="2"/>
      <c r="G1" s="2"/>
      <c r="H1" s="2"/>
      <c r="I1" s="2"/>
      <c r="J1" s="2"/>
    </row>
    <row r="2" spans="2:10" ht="24.9" customHeight="1" thickTop="1" x14ac:dyDescent="0.25">
      <c r="B2" s="7" t="s">
        <v>15</v>
      </c>
      <c r="C2" s="7" t="s">
        <v>22</v>
      </c>
      <c r="D2" s="10" t="s">
        <v>9</v>
      </c>
      <c r="E2" s="10" t="s">
        <v>8</v>
      </c>
      <c r="F2" s="7" t="s">
        <v>13</v>
      </c>
      <c r="G2" s="7" t="s">
        <v>14</v>
      </c>
      <c r="H2" s="7" t="s">
        <v>17</v>
      </c>
      <c r="I2" s="7" t="s">
        <v>18</v>
      </c>
      <c r="J2" s="7" t="s">
        <v>16</v>
      </c>
    </row>
    <row r="3" spans="2:10" ht="30" customHeight="1" x14ac:dyDescent="0.25">
      <c r="B3" s="17">
        <v>20250906114102</v>
      </c>
      <c r="C3" s="18" t="s">
        <v>32</v>
      </c>
      <c r="D3" s="19" t="s">
        <v>33</v>
      </c>
      <c r="E3" s="19" t="s">
        <v>35</v>
      </c>
      <c r="F3" s="22">
        <v>93</v>
      </c>
      <c r="G3" s="23" t="s">
        <v>20</v>
      </c>
      <c r="H3" s="23">
        <v>26</v>
      </c>
      <c r="I3" s="23">
        <v>2</v>
      </c>
      <c r="J3" s="23">
        <v>288300</v>
      </c>
    </row>
    <row r="4" spans="2:10" ht="30" customHeight="1" x14ac:dyDescent="0.25">
      <c r="B4" s="17">
        <v>20250906114102</v>
      </c>
      <c r="C4" s="18" t="s">
        <v>32</v>
      </c>
      <c r="D4" s="19" t="s">
        <v>33</v>
      </c>
      <c r="E4" s="19" t="s">
        <v>34</v>
      </c>
      <c r="F4" s="22">
        <v>63</v>
      </c>
      <c r="G4" s="23" t="s">
        <v>19</v>
      </c>
      <c r="H4" s="23">
        <v>12</v>
      </c>
      <c r="I4" s="23">
        <v>4</v>
      </c>
      <c r="J4" s="23">
        <v>138600</v>
      </c>
    </row>
    <row r="5" spans="2:10" ht="30" customHeight="1" x14ac:dyDescent="0.25">
      <c r="B5" s="17">
        <v>20250906095434</v>
      </c>
      <c r="C5" s="18" t="s">
        <v>31</v>
      </c>
      <c r="D5" s="19">
        <v>45906</v>
      </c>
      <c r="E5" s="19">
        <v>45907</v>
      </c>
      <c r="F5" s="22">
        <v>1</v>
      </c>
      <c r="G5" s="23" t="s">
        <v>20</v>
      </c>
      <c r="H5" s="23">
        <v>3</v>
      </c>
      <c r="I5" s="23">
        <v>4</v>
      </c>
      <c r="J5" s="23">
        <v>1300</v>
      </c>
    </row>
    <row r="6" spans="2:10" ht="30" customHeight="1" x14ac:dyDescent="0.25">
      <c r="B6" s="17">
        <v>20250906095434</v>
      </c>
      <c r="C6" s="18" t="s">
        <v>31</v>
      </c>
      <c r="D6" s="19">
        <v>45906</v>
      </c>
      <c r="E6" s="19">
        <v>45907</v>
      </c>
      <c r="F6" s="22">
        <v>1</v>
      </c>
      <c r="G6" s="23" t="s">
        <v>19</v>
      </c>
      <c r="H6" s="23">
        <v>1</v>
      </c>
      <c r="I6" s="23">
        <v>2</v>
      </c>
      <c r="J6" s="23">
        <v>600</v>
      </c>
    </row>
    <row r="7" spans="2:10" ht="30" customHeight="1" x14ac:dyDescent="0.25">
      <c r="B7" s="17">
        <v>20240318145711</v>
      </c>
      <c r="C7" s="18" t="s">
        <v>30</v>
      </c>
      <c r="D7" s="19">
        <v>45400</v>
      </c>
      <c r="E7" s="19">
        <v>45402</v>
      </c>
      <c r="F7" s="22">
        <v>2</v>
      </c>
      <c r="G7" s="23" t="s">
        <v>20</v>
      </c>
      <c r="H7" s="23">
        <v>1</v>
      </c>
      <c r="I7" s="23">
        <v>2</v>
      </c>
      <c r="J7" s="23">
        <v>1200</v>
      </c>
    </row>
    <row r="8" spans="2:10" ht="30" customHeight="1" x14ac:dyDescent="0.25">
      <c r="B8" s="17">
        <v>20240315114345</v>
      </c>
      <c r="C8" s="18" t="s">
        <v>28</v>
      </c>
      <c r="D8" s="19">
        <v>45352</v>
      </c>
      <c r="E8" s="19">
        <v>45366</v>
      </c>
      <c r="F8" s="22">
        <v>14</v>
      </c>
      <c r="G8" s="23" t="s">
        <v>19</v>
      </c>
      <c r="H8" s="23">
        <v>1</v>
      </c>
      <c r="I8" s="23">
        <v>2</v>
      </c>
      <c r="J8" s="23">
        <v>8400</v>
      </c>
    </row>
    <row r="9" spans="2:10" ht="30" customHeight="1" x14ac:dyDescent="0.25">
      <c r="B9" s="17">
        <v>20240315114345</v>
      </c>
      <c r="C9" s="18" t="s">
        <v>28</v>
      </c>
      <c r="D9" s="19">
        <v>45352</v>
      </c>
      <c r="E9" s="19">
        <v>45366</v>
      </c>
      <c r="F9" s="22">
        <v>14</v>
      </c>
      <c r="G9" s="23" t="s">
        <v>20</v>
      </c>
      <c r="H9" s="23">
        <v>2</v>
      </c>
      <c r="I9" s="23">
        <v>2</v>
      </c>
      <c r="J9" s="23">
        <v>9800</v>
      </c>
    </row>
    <row r="10" spans="2:10" ht="30" customHeight="1" x14ac:dyDescent="0.25">
      <c r="B10" s="17">
        <v>20240315114345</v>
      </c>
      <c r="C10" s="18" t="s">
        <v>28</v>
      </c>
      <c r="D10" s="19">
        <v>45352</v>
      </c>
      <c r="E10" s="19">
        <v>45366</v>
      </c>
      <c r="F10" s="22">
        <v>14</v>
      </c>
      <c r="G10" s="23" t="s">
        <v>21</v>
      </c>
      <c r="H10" s="23">
        <v>3</v>
      </c>
      <c r="I10" s="23">
        <v>2</v>
      </c>
      <c r="J10" s="23">
        <v>11200</v>
      </c>
    </row>
    <row r="11" spans="2:10" ht="30" customHeight="1" x14ac:dyDescent="0.25">
      <c r="B11" s="17">
        <v>20240318145609</v>
      </c>
      <c r="C11" s="18" t="s">
        <v>29</v>
      </c>
      <c r="D11" s="19">
        <v>45367</v>
      </c>
      <c r="E11" s="19">
        <v>45370</v>
      </c>
      <c r="F11" s="22">
        <v>3</v>
      </c>
      <c r="G11" s="23" t="s">
        <v>20</v>
      </c>
      <c r="H11" s="23">
        <v>1</v>
      </c>
      <c r="I11" s="23">
        <v>2</v>
      </c>
      <c r="J11" s="23">
        <v>1800</v>
      </c>
    </row>
  </sheetData>
  <mergeCells count="2">
    <mergeCell ref="B1:C1"/>
    <mergeCell ref="D1:E1"/>
  </mergeCells>
  <dataValidations xWindow="1140" yWindow="384" count="3">
    <dataValidation allowBlank="1" showErrorMessage="1" sqref="D1:E1"/>
    <dataValidation allowBlank="1" showInputMessage="1" showErrorMessage="1" prompt="Enter assignment description in this column" sqref="B2:C7"/>
    <dataValidation allowBlank="1" showInputMessage="1" showErrorMessage="1" prompt="Enter the due date in this column" sqref="D2:E7"/>
  </dataValidations>
  <hyperlinks>
    <hyperlink ref="D1" location="'Month View'!A1" tooltip="Klikněte pro zobrazení kalendáře" display="KALENDÁŘ"/>
    <hyperlink ref="D1:E1" location="Kalendář!A1" tooltip="Klikněte pro zobrazení kalendáře" display="KALENDÁŘ"/>
  </hyperlinks>
  <printOptions horizontalCentered="1"/>
  <pageMargins left="0.7" right="0.7" top="0.75" bottom="0.75" header="0.3" footer="0.3"/>
  <pageSetup orientation="portrait" r:id="rId1"/>
  <headerFooter differentFirst="1">
    <oddFooter>Page &amp;P of &amp;N</oddFoot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8" r:id="rId4" name="Button 4">
              <controlPr defaultSize="0" print="0" autoFill="0" autoPict="0" macro="[0]!tlačítko4_Kliknutí">
                <anchor moveWithCells="1">
                  <from>
                    <xdr:col>5</xdr:col>
                    <xdr:colOff>76200</xdr:colOff>
                    <xdr:row>0</xdr:row>
                    <xdr:rowOff>60960</xdr:rowOff>
                  </from>
                  <to>
                    <xdr:col>5</xdr:col>
                    <xdr:colOff>1021080</xdr:colOff>
                    <xdr:row>0</xdr:row>
                    <xdr:rowOff>381000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5" name="Button 5">
              <controlPr defaultSize="0" print="0" autoFill="0" autoPict="0" macro="[0]!EditByID">
                <anchor moveWithCells="1">
                  <from>
                    <xdr:col>5</xdr:col>
                    <xdr:colOff>1074420</xdr:colOff>
                    <xdr:row>0</xdr:row>
                    <xdr:rowOff>60960</xdr:rowOff>
                  </from>
                  <to>
                    <xdr:col>7</xdr:col>
                    <xdr:colOff>7620</xdr:colOff>
                    <xdr:row>0</xdr:row>
                    <xdr:rowOff>381000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0" r:id="rId6" name="Button 6">
              <controlPr defaultSize="0" print="0" autoFill="0" autoPict="0" macro="[0]!GenerateCoupon">
                <anchor moveWithCells="1">
                  <from>
                    <xdr:col>7</xdr:col>
                    <xdr:colOff>68580</xdr:colOff>
                    <xdr:row>0</xdr:row>
                    <xdr:rowOff>60960</xdr:rowOff>
                  </from>
                  <to>
                    <xdr:col>8</xdr:col>
                    <xdr:colOff>297180</xdr:colOff>
                    <xdr:row>0</xdr:row>
                    <xdr:rowOff>381000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>
    <tabColor theme="9"/>
    <pageSetUpPr autoPageBreaks="0" fitToPage="1"/>
  </sheetPr>
  <dimension ref="A1:AG29"/>
  <sheetViews>
    <sheetView showGridLines="0" tabSelected="1" zoomScale="80" zoomScaleNormal="80" workbookViewId="0">
      <pane ySplit="2" topLeftCell="A3" activePane="bottomLeft" state="frozen"/>
      <selection pane="bottomLeft" activeCell="G7" sqref="G7"/>
    </sheetView>
  </sheetViews>
  <sheetFormatPr defaultRowHeight="13.8" x14ac:dyDescent="0.25"/>
  <cols>
    <col min="1" max="1" width="16.69921875" bestFit="1" customWidth="1"/>
    <col min="2" max="2" width="24.8984375" bestFit="1" customWidth="1"/>
    <col min="3" max="3" width="23.19921875" customWidth="1"/>
    <col min="4" max="8" width="20.5" customWidth="1"/>
    <col min="9" max="9" width="2.59765625" customWidth="1"/>
    <col min="10" max="10" width="9.8984375" customWidth="1"/>
    <col min="11" max="11" width="0.8984375" customWidth="1"/>
    <col min="12" max="18" width="9.8984375" hidden="1" customWidth="1"/>
    <col min="19" max="19" width="16.69921875" bestFit="1" customWidth="1"/>
    <col min="20" max="33" width="12.5" customWidth="1"/>
  </cols>
  <sheetData>
    <row r="1" spans="1:33" ht="24.9" customHeight="1" thickBot="1" x14ac:dyDescent="0.3">
      <c r="B1" t="s">
        <v>11</v>
      </c>
      <c r="C1" t="s">
        <v>12</v>
      </c>
    </row>
    <row r="2" spans="1:33" ht="30" customHeight="1" thickTop="1" thickBot="1" x14ac:dyDescent="0.3">
      <c r="B2" s="16" t="s">
        <v>36</v>
      </c>
      <c r="C2" s="16">
        <f ca="1">YEAR(TODAY())</f>
        <v>2025</v>
      </c>
      <c r="D2" s="5" t="s">
        <v>7</v>
      </c>
    </row>
    <row r="3" spans="1:33" ht="35.1" customHeight="1" thickTop="1" thickBot="1" x14ac:dyDescent="0.45">
      <c r="A3" s="8"/>
      <c r="B3" s="4" t="s">
        <v>26</v>
      </c>
      <c r="C3" s="4"/>
      <c r="D3" s="4"/>
      <c r="E3" s="4"/>
      <c r="F3" s="4"/>
      <c r="G3" s="4"/>
      <c r="H3" s="4"/>
      <c r="S3" s="8"/>
      <c r="T3" s="4" t="s">
        <v>27</v>
      </c>
      <c r="U3" s="4"/>
      <c r="V3" s="4"/>
      <c r="W3" s="4"/>
      <c r="X3" s="4"/>
      <c r="Y3" s="4"/>
      <c r="Z3" s="4"/>
      <c r="AA3" s="8"/>
      <c r="AB3" s="8"/>
      <c r="AC3" s="8"/>
      <c r="AD3" s="8"/>
      <c r="AE3" s="8"/>
      <c r="AF3" s="8"/>
      <c r="AG3" s="8"/>
    </row>
    <row r="4" spans="1:33" ht="24.9" customHeight="1" thickTop="1" thickBot="1" x14ac:dyDescent="0.3">
      <c r="A4" s="3"/>
      <c r="B4" s="3" t="s">
        <v>0</v>
      </c>
      <c r="C4" s="3" t="s">
        <v>1</v>
      </c>
      <c r="D4" s="3" t="s">
        <v>2</v>
      </c>
      <c r="E4" s="3" t="s">
        <v>3</v>
      </c>
      <c r="F4" s="3" t="s">
        <v>4</v>
      </c>
      <c r="G4" s="3" t="s">
        <v>5</v>
      </c>
      <c r="H4" s="3" t="s">
        <v>6</v>
      </c>
      <c r="S4" s="3"/>
      <c r="T4" s="27" t="s">
        <v>0</v>
      </c>
      <c r="U4" s="27"/>
      <c r="V4" s="27" t="s">
        <v>1</v>
      </c>
      <c r="W4" s="27"/>
      <c r="X4" s="27" t="s">
        <v>2</v>
      </c>
      <c r="Y4" s="27"/>
      <c r="Z4" s="27" t="s">
        <v>3</v>
      </c>
      <c r="AA4" s="27"/>
      <c r="AB4" s="27" t="s">
        <v>4</v>
      </c>
      <c r="AC4" s="27"/>
      <c r="AD4" s="27" t="s">
        <v>5</v>
      </c>
      <c r="AE4" s="27"/>
      <c r="AF4" s="27" t="s">
        <v>6</v>
      </c>
      <c r="AG4" s="27"/>
    </row>
    <row r="5" spans="1:33" ht="28.8" thickTop="1" thickBot="1" x14ac:dyDescent="0.3">
      <c r="A5" s="3"/>
      <c r="B5" s="13">
        <f t="shared" ref="B5:H5" ca="1" si="0">IF(WEEKDAY(DATEVALUE("1-"&amp;MoMonth&amp;"-"&amp;MoYear),2)=COLUMN(A$1),1,IF(LEN(A5)&gt;0,A5+1,""))</f>
        <v>1</v>
      </c>
      <c r="C5" s="13">
        <f t="shared" ca="1" si="0"/>
        <v>2</v>
      </c>
      <c r="D5" s="13">
        <f t="shared" ca="1" si="0"/>
        <v>3</v>
      </c>
      <c r="E5" s="13">
        <f t="shared" ca="1" si="0"/>
        <v>4</v>
      </c>
      <c r="F5" s="13">
        <f t="shared" ca="1" si="0"/>
        <v>5</v>
      </c>
      <c r="G5" s="13">
        <f t="shared" ca="1" si="0"/>
        <v>6</v>
      </c>
      <c r="H5" s="13">
        <f t="shared" ca="1" si="0"/>
        <v>7</v>
      </c>
      <c r="L5" s="6">
        <f t="shared" ref="L5:R5" ca="1" si="1">DATE(MoYear,MoMonthNum,B5)</f>
        <v>45901</v>
      </c>
      <c r="M5" s="6">
        <f t="shared" ca="1" si="1"/>
        <v>45902</v>
      </c>
      <c r="N5" s="6">
        <f t="shared" ca="1" si="1"/>
        <v>45903</v>
      </c>
      <c r="O5" s="6">
        <f t="shared" ca="1" si="1"/>
        <v>45904</v>
      </c>
      <c r="P5" s="6">
        <f t="shared" ca="1" si="1"/>
        <v>45905</v>
      </c>
      <c r="Q5" s="6">
        <f t="shared" ca="1" si="1"/>
        <v>45906</v>
      </c>
      <c r="R5" s="6">
        <f t="shared" ca="1" si="1"/>
        <v>45907</v>
      </c>
      <c r="S5" s="3"/>
      <c r="T5" s="26">
        <f ca="1">B5</f>
        <v>1</v>
      </c>
      <c r="U5" s="26"/>
      <c r="V5" s="26">
        <f ca="1">C5</f>
        <v>2</v>
      </c>
      <c r="W5" s="26"/>
      <c r="X5" s="26">
        <f ca="1">D5</f>
        <v>3</v>
      </c>
      <c r="Y5" s="26"/>
      <c r="Z5" s="26">
        <f ca="1">E5</f>
        <v>4</v>
      </c>
      <c r="AA5" s="26"/>
      <c r="AB5" s="26">
        <f ca="1">F5</f>
        <v>5</v>
      </c>
      <c r="AC5" s="26"/>
      <c r="AD5" s="26">
        <f ca="1">G5</f>
        <v>6</v>
      </c>
      <c r="AE5" s="26"/>
      <c r="AF5" s="26">
        <f ca="1">H5</f>
        <v>7</v>
      </c>
      <c r="AG5" s="26"/>
    </row>
    <row r="6" spans="1:33" ht="20.100000000000001" customHeight="1" thickTop="1" thickBot="1" x14ac:dyDescent="0.35">
      <c r="A6" s="3" t="s">
        <v>19</v>
      </c>
      <c r="B6" s="14" t="str">
        <f ca="1">IF(L6&gt;0,"OBSAZENO","")</f>
        <v/>
      </c>
      <c r="C6" s="14" t="str">
        <f t="shared" ref="C6:H8" ca="1" si="2">IF(M6&gt;0,"OBSAZENO","")</f>
        <v/>
      </c>
      <c r="D6" s="14" t="str">
        <f t="shared" ca="1" si="2"/>
        <v/>
      </c>
      <c r="E6" s="14" t="str">
        <f t="shared" ca="1" si="2"/>
        <v/>
      </c>
      <c r="F6" s="14" t="str">
        <f t="shared" ca="1" si="2"/>
        <v/>
      </c>
      <c r="G6" s="14" t="str">
        <f t="shared" ca="1" si="2"/>
        <v>OBSAZENO</v>
      </c>
      <c r="H6" s="14" t="str">
        <f t="shared" ca="1" si="2"/>
        <v>OBSAZENO</v>
      </c>
      <c r="K6" s="9"/>
      <c r="L6">
        <f ca="1">COUNTIFS(Assignments[POKOJ], $A$6, Assignments[DATUM PŘÍJEZDU], "&lt;=" &amp; L5, Assignments[DATUM ODJEZDU], "&gt;=" &amp; L5)</f>
        <v>0</v>
      </c>
      <c r="M6">
        <f ca="1">COUNTIFS(Assignments[POKOJ], $A$6, Assignments[DATUM PŘÍJEZDU], "&lt;=" &amp; M5, Assignments[DATUM ODJEZDU], "&gt;=" &amp; M5)</f>
        <v>0</v>
      </c>
      <c r="N6">
        <f ca="1">COUNTIFS(Assignments[POKOJ], $A$6, Assignments[DATUM PŘÍJEZDU], "&lt;=" &amp; N5, Assignments[DATUM ODJEZDU], "&gt;=" &amp; N5)</f>
        <v>0</v>
      </c>
      <c r="O6">
        <f ca="1">COUNTIFS(Assignments[POKOJ], $A$6, Assignments[DATUM PŘÍJEZDU], "&lt;=" &amp; O5, Assignments[DATUM ODJEZDU], "&gt;=" &amp; O5)</f>
        <v>0</v>
      </c>
      <c r="P6">
        <f ca="1">COUNTIFS(Assignments[POKOJ], $A$6, Assignments[DATUM PŘÍJEZDU], "&lt;=" &amp; P5, Assignments[DATUM ODJEZDU], "&gt;=" &amp; P5)</f>
        <v>0</v>
      </c>
      <c r="Q6">
        <f ca="1">COUNTIFS(Assignments[POKOJ], $A$6, Assignments[DATUM PŘÍJEZDU], "&lt;=" &amp; Q5, Assignments[DATUM ODJEZDU], "&gt;=" &amp; Q5)</f>
        <v>1</v>
      </c>
      <c r="R6">
        <f ca="1">COUNTIFS(Assignments[POKOJ], $A$6, Assignments[DATUM PŘÍJEZDU], "&lt;=" &amp; R5, Assignments[DATUM ODJEZDU], "&gt;=" &amp; R5)</f>
        <v>1</v>
      </c>
      <c r="S6" s="3" t="s">
        <v>19</v>
      </c>
      <c r="T6" s="11" t="str">
        <f t="array" aca="1" ref="T6" ca="1">IFERROR(INDEX(Assignments[JMÉNO A PŘÍJMENÍ], MATCH(1, (Assignments[POKOJ]=$A$6)*(Assignments[DATUM PŘÍJEZDU]&lt;L5)*(Assignments[DATUM ODJEZDU]&gt;=L5), 0)), "")</f>
        <v/>
      </c>
      <c r="U6" s="11" t="str">
        <f t="array" aca="1" ref="U6" ca="1">IFERROR(INDEX(Assignments[JMÉNO A PŘÍJMENÍ], MATCH(1, (Assignments[POKOJ]=$A$6)*(Assignments[DATUM PŘÍJEZDU]&lt;=L5)*(Assignments[DATUM ODJEZDU]&gt;L5), 0)), "")</f>
        <v/>
      </c>
      <c r="V6" s="11" t="str">
        <f t="array" aca="1" ref="V6" ca="1">IFERROR(INDEX(Assignments[JMÉNO A PŘÍJMENÍ], MATCH(1, (Assignments[POKOJ]=$A$6)*(Assignments[DATUM PŘÍJEZDU]&lt;M5)*(Assignments[DATUM ODJEZDU]&gt;=M5), 0)), "")</f>
        <v/>
      </c>
      <c r="W6" s="11" t="str">
        <f t="array" aca="1" ref="W6" ca="1">IFERROR(INDEX(Assignments[JMÉNO A PŘÍJMENÍ], MATCH(1, (Assignments[POKOJ]=$A$6)*(Assignments[DATUM PŘÍJEZDU]&lt;=M5)*(Assignments[DATUM ODJEZDU]&gt;M5), 0)), "")</f>
        <v/>
      </c>
      <c r="X6" s="11" t="str">
        <f t="array" aca="1" ref="X6" ca="1">IFERROR(INDEX(Assignments[JMÉNO A PŘÍJMENÍ], MATCH(1, (Assignments[POKOJ]=$A$6)*(Assignments[DATUM PŘÍJEZDU]&lt;N5)*(Assignments[DATUM ODJEZDU]&gt;=N5), 0)), "")</f>
        <v/>
      </c>
      <c r="Y6" s="11" t="str">
        <f t="array" aca="1" ref="Y6" ca="1">IFERROR(INDEX(Assignments[JMÉNO A PŘÍJMENÍ], MATCH(1, (Assignments[POKOJ]=$A$6)*(Assignments[DATUM PŘÍJEZDU]&lt;=N5)*(Assignments[DATUM ODJEZDU]&gt;N5), 0)), "")</f>
        <v/>
      </c>
      <c r="Z6" s="11" t="str">
        <f t="array" aca="1" ref="Z6" ca="1">IFERROR(INDEX(Assignments[JMÉNO A PŘÍJMENÍ], MATCH(1, (Assignments[POKOJ]=$A$6)*(Assignments[DATUM PŘÍJEZDU]&lt;O5)*(Assignments[DATUM ODJEZDU]&gt;=O5), 0)), "")</f>
        <v/>
      </c>
      <c r="AA6" s="11" t="str">
        <f t="array" aca="1" ref="AA6" ca="1">IFERROR(INDEX(Assignments[JMÉNO A PŘÍJMENÍ], MATCH(1, (Assignments[POKOJ]=$A$6)*(Assignments[DATUM PŘÍJEZDU]&lt;=O5)*(Assignments[DATUM ODJEZDU]&gt;O5), 0)), "")</f>
        <v/>
      </c>
      <c r="AB6" s="11" t="str">
        <f t="array" aca="1" ref="AB6" ca="1">IFERROR(INDEX(Assignments[JMÉNO A PŘÍJMENÍ], MATCH(1, (Assignments[POKOJ]=$A$6)*(Assignments[DATUM PŘÍJEZDU]&lt;P5)*(Assignments[DATUM ODJEZDU]&gt;=P5), 0)), "")</f>
        <v/>
      </c>
      <c r="AC6" s="11" t="str">
        <f t="array" aca="1" ref="AC6" ca="1">IFERROR(INDEX(Assignments[JMÉNO A PŘÍJMENÍ], MATCH(1, (Assignments[POKOJ]=$A$6)*(Assignments[DATUM PŘÍJEZDU]&lt;=P5)*(Assignments[DATUM ODJEZDU]&gt;P5), 0)), "")</f>
        <v/>
      </c>
      <c r="AD6" s="11" t="str">
        <f t="array" aca="1" ref="AD6" ca="1">IFERROR(INDEX(Assignments[JMÉNO A PŘÍJMENÍ], MATCH(1, (Assignments[POKOJ]=$A$6)*(Assignments[DATUM PŘÍJEZDU]&lt;Q5)*(Assignments[DATUM ODJEZDU]&gt;=Q5), 0)), "")</f>
        <v/>
      </c>
      <c r="AE6" s="11" t="str">
        <f t="array" aca="1" ref="AE6" ca="1">IFERROR(INDEX(Assignments[JMÉNO A PŘÍJMENÍ], MATCH(1, (Assignments[POKOJ]=$A$6)*(Assignments[DATUM PŘÍJEZDU]&lt;=Q5)*(Assignments[DATUM ODJEZDU]&gt;Q5), 0)), "")</f>
        <v>KLJLKJ</v>
      </c>
      <c r="AF6" s="11" t="str">
        <f t="array" aca="1" ref="AF6" ca="1">IFERROR(INDEX(Assignments[JMÉNO A PŘÍJMENÍ], MATCH(1, (Assignments[POKOJ]=$A$6)*(Assignments[DATUM PŘÍJEZDU]&lt;R5)*(Assignments[DATUM ODJEZDU]&gt;=R5), 0)), "")</f>
        <v>KLJLKJ</v>
      </c>
      <c r="AG6" s="11" t="str">
        <f t="array" aca="1" ref="AG6" ca="1">IFERROR(INDEX(Assignments[JMÉNO A PŘÍJMENÍ], MATCH(1, (Assignments[POKOJ]=$A$6)*(Assignments[DATUM PŘÍJEZDU]&lt;=R5)*(Assignments[DATUM ODJEZDU]&gt;R5), 0)), "")</f>
        <v/>
      </c>
    </row>
    <row r="7" spans="1:33" ht="20.100000000000001" customHeight="1" thickTop="1" thickBot="1" x14ac:dyDescent="0.35">
      <c r="A7" s="3" t="s">
        <v>20</v>
      </c>
      <c r="B7" s="14" t="str">
        <f t="shared" ref="B7:B28" ca="1" si="3">IF(L7&gt;0,"OBSAZENO","")</f>
        <v/>
      </c>
      <c r="C7" s="14" t="str">
        <f t="shared" ca="1" si="2"/>
        <v/>
      </c>
      <c r="D7" s="14" t="str">
        <f t="shared" ca="1" si="2"/>
        <v/>
      </c>
      <c r="E7" s="14" t="str">
        <f t="shared" ca="1" si="2"/>
        <v/>
      </c>
      <c r="F7" s="14" t="str">
        <f t="shared" ca="1" si="2"/>
        <v/>
      </c>
      <c r="G7" s="14" t="str">
        <f t="shared" ca="1" si="2"/>
        <v>OBSAZENO</v>
      </c>
      <c r="H7" s="14" t="str">
        <f t="shared" ca="1" si="2"/>
        <v>OBSAZENO</v>
      </c>
      <c r="K7" s="9"/>
      <c r="L7">
        <f ca="1">COUNTIFS(Assignments[POKOJ], $A$7, Assignments[DATUM PŘÍJEZDU], "&lt;=" &amp; L5, Assignments[DATUM ODJEZDU], "&gt;=" &amp; L5)</f>
        <v>0</v>
      </c>
      <c r="M7">
        <f ca="1">COUNTIFS(Assignments[POKOJ], $A$7, Assignments[DATUM PŘÍJEZDU], "&lt;=" &amp; M5, Assignments[DATUM ODJEZDU], "&gt;=" &amp; M5)</f>
        <v>0</v>
      </c>
      <c r="N7">
        <f ca="1">COUNTIFS(Assignments[POKOJ], $A$7, Assignments[DATUM PŘÍJEZDU], "&lt;=" &amp; N5, Assignments[DATUM ODJEZDU], "&gt;=" &amp; N5)</f>
        <v>0</v>
      </c>
      <c r="O7">
        <f ca="1">COUNTIFS(Assignments[POKOJ], $A$7, Assignments[DATUM PŘÍJEZDU], "&lt;=" &amp; O5, Assignments[DATUM ODJEZDU], "&gt;=" &amp; O5)</f>
        <v>0</v>
      </c>
      <c r="P7">
        <f ca="1">COUNTIFS(Assignments[POKOJ], $A$7, Assignments[DATUM PŘÍJEZDU], "&lt;=" &amp; P5, Assignments[DATUM ODJEZDU], "&gt;=" &amp; P5)</f>
        <v>0</v>
      </c>
      <c r="Q7">
        <f ca="1">COUNTIFS(Assignments[POKOJ], $A$7, Assignments[DATUM PŘÍJEZDU], "&lt;=" &amp; Q5, Assignments[DATUM ODJEZDU], "&gt;=" &amp; Q5)</f>
        <v>1</v>
      </c>
      <c r="R7">
        <f ca="1">COUNTIFS(Assignments[POKOJ], $A$7, Assignments[DATUM PŘÍJEZDU], "&lt;=" &amp; R5, Assignments[DATUM ODJEZDU], "&gt;=" &amp; R5)</f>
        <v>1</v>
      </c>
      <c r="S7" s="3" t="s">
        <v>20</v>
      </c>
      <c r="T7" s="11" t="str">
        <f t="array" aca="1" ref="T7" ca="1">IFERROR(INDEX(Assignments[JMÉNO A PŘÍJMENÍ], MATCH(1, (Assignments[POKOJ]=$A$7)*(Assignments[DATUM PŘÍJEZDU]&lt;L5)*(Assignments[DATUM ODJEZDU]&gt;=L5), 0)), "")</f>
        <v/>
      </c>
      <c r="U7" s="11" t="str">
        <f t="array" aca="1" ref="U7" ca="1">IFERROR(INDEX(Assignments[JMÉNO A PŘÍJMENÍ], MATCH(1, (Assignments[POKOJ]=$A$7)*(Assignments[DATUM PŘÍJEZDU]&lt;=L5)*(Assignments[DATUM ODJEZDU]&gt;L5), 0)), "")</f>
        <v/>
      </c>
      <c r="V7" s="11" t="str">
        <f t="array" aca="1" ref="V7" ca="1">IFERROR(INDEX(Assignments[JMÉNO A PŘÍJMENÍ], MATCH(1, (Assignments[POKOJ]=$A$7)*(Assignments[DATUM PŘÍJEZDU]&lt;M5)*(Assignments[DATUM ODJEZDU]&gt;=M5), 0)), "")</f>
        <v/>
      </c>
      <c r="W7" s="11" t="str">
        <f t="array" aca="1" ref="W7" ca="1">IFERROR(INDEX(Assignments[JMÉNO A PŘÍJMENÍ], MATCH(1, (Assignments[POKOJ]=$A$7)*(Assignments[DATUM PŘÍJEZDU]&lt;=M5)*(Assignments[DATUM ODJEZDU]&gt;M5), 0)), "")</f>
        <v/>
      </c>
      <c r="X7" s="11" t="str">
        <f t="array" aca="1" ref="X7" ca="1">IFERROR(INDEX(Assignments[JMÉNO A PŘÍJMENÍ], MATCH(1, (Assignments[POKOJ]=$A$7)*(Assignments[DATUM PŘÍJEZDU]&lt;N5)*(Assignments[DATUM ODJEZDU]&gt;=N5), 0)), "")</f>
        <v/>
      </c>
      <c r="Y7" s="11" t="str">
        <f t="array" aca="1" ref="Y7" ca="1">IFERROR(INDEX(Assignments[JMÉNO A PŘÍJMENÍ], MATCH(1, (Assignments[POKOJ]=$A$7)*(Assignments[DATUM PŘÍJEZDU]&lt;=N5)*(Assignments[DATUM ODJEZDU]&gt;N5), 0)), "")</f>
        <v/>
      </c>
      <c r="Z7" s="11" t="str">
        <f t="array" aca="1" ref="Z7" ca="1">IFERROR(INDEX(Assignments[JMÉNO A PŘÍJMENÍ], MATCH(1, (Assignments[POKOJ]=$A$7)*(Assignments[DATUM PŘÍJEZDU]&lt;O5)*(Assignments[DATUM ODJEZDU]&gt;=O5), 0)), "")</f>
        <v/>
      </c>
      <c r="AA7" s="11" t="str">
        <f t="array" aca="1" ref="AA7" ca="1">IFERROR(INDEX(Assignments[JMÉNO A PŘÍJMENÍ], MATCH(1, (Assignments[POKOJ]=$A$7)*(Assignments[DATUM PŘÍJEZDU]&lt;=O5)*(Assignments[DATUM ODJEZDU]&gt;O5), 0)), "")</f>
        <v/>
      </c>
      <c r="AB7" s="11" t="str">
        <f t="array" aca="1" ref="AB7" ca="1">IFERROR(INDEX(Assignments[JMÉNO A PŘÍJMENÍ], MATCH(1, (Assignments[POKOJ]=$A$7)*(Assignments[DATUM PŘÍJEZDU]&lt;P5)*(Assignments[DATUM ODJEZDU]&gt;=P5), 0)), "")</f>
        <v/>
      </c>
      <c r="AC7" s="11" t="str">
        <f t="array" aca="1" ref="AC7" ca="1">IFERROR(INDEX(Assignments[JMÉNO A PŘÍJMENÍ], MATCH(1, (Assignments[POKOJ]=$A$7)*(Assignments[DATUM PŘÍJEZDU]&lt;=P5)*(Assignments[DATUM ODJEZDU]&gt;P5), 0)), "")</f>
        <v/>
      </c>
      <c r="AD7" s="11" t="str">
        <f t="array" aca="1" ref="AD7" ca="1">IFERROR(INDEX(Assignments[JMÉNO A PŘÍJMENÍ], MATCH(1, (Assignments[POKOJ]=$A$7)*(Assignments[DATUM PŘÍJEZDU]&lt;Q5)*(Assignments[DATUM ODJEZDU]&gt;=Q5), 0)), "")</f>
        <v/>
      </c>
      <c r="AE7" s="11" t="str">
        <f t="array" aca="1" ref="AE7" ca="1">IFERROR(INDEX(Assignments[JMÉNO A PŘÍJMENÍ], MATCH(1, (Assignments[POKOJ]=$A$7)*(Assignments[DATUM PŘÍJEZDU]&lt;=Q5)*(Assignments[DATUM ODJEZDU]&gt;Q5), 0)), "")</f>
        <v>KLJLKJ</v>
      </c>
      <c r="AF7" s="11" t="str">
        <f t="array" aca="1" ref="AF7" ca="1">IFERROR(INDEX(Assignments[JMÉNO A PŘÍJMENÍ], MATCH(1, (Assignments[POKOJ]=$A$7)*(Assignments[DATUM PŘÍJEZDU]&lt;R5)*(Assignments[DATUM ODJEZDU]&gt;=R5), 0)), "")</f>
        <v>KLJLKJ</v>
      </c>
      <c r="AG7" s="11" t="str">
        <f t="array" aca="1" ref="AG7" ca="1">IFERROR(INDEX(Assignments[JMÉNO A PŘÍJMENÍ], MATCH(1, (Assignments[POKOJ]=$A$7)*(Assignments[DATUM PŘÍJEZDU]&lt;=R5)*(Assignments[DATUM ODJEZDU]&gt;R5), 0)), "")</f>
        <v/>
      </c>
    </row>
    <row r="8" spans="1:33" ht="20.100000000000001" customHeight="1" thickTop="1" thickBot="1" x14ac:dyDescent="0.3">
      <c r="A8" s="3" t="s">
        <v>21</v>
      </c>
      <c r="B8" s="14" t="str">
        <f t="shared" ca="1" si="3"/>
        <v/>
      </c>
      <c r="C8" s="14" t="str">
        <f t="shared" ca="1" si="2"/>
        <v/>
      </c>
      <c r="D8" s="14" t="str">
        <f t="shared" ca="1" si="2"/>
        <v/>
      </c>
      <c r="E8" s="14" t="str">
        <f t="shared" ca="1" si="2"/>
        <v/>
      </c>
      <c r="F8" s="14" t="str">
        <f t="shared" ca="1" si="2"/>
        <v/>
      </c>
      <c r="G8" s="14" t="str">
        <f t="shared" ca="1" si="2"/>
        <v/>
      </c>
      <c r="H8" s="14" t="str">
        <f t="shared" ca="1" si="2"/>
        <v/>
      </c>
      <c r="L8">
        <f ca="1">COUNTIFS(Assignments[POKOJ], $A$8, Assignments[DATUM PŘÍJEZDU], "&lt;=" &amp; L5, Assignments[DATUM ODJEZDU], "&gt;=" &amp; L5)</f>
        <v>0</v>
      </c>
      <c r="M8">
        <f ca="1">COUNTIFS(Assignments[POKOJ], $A$8, Assignments[DATUM PŘÍJEZDU], "&lt;=" &amp; M5, Assignments[DATUM ODJEZDU], "&gt;=" &amp; M5)</f>
        <v>0</v>
      </c>
      <c r="N8">
        <f ca="1">COUNTIFS(Assignments[POKOJ], $A$8, Assignments[DATUM PŘÍJEZDU], "&lt;=" &amp; N5, Assignments[DATUM ODJEZDU], "&gt;=" &amp; N5)</f>
        <v>0</v>
      </c>
      <c r="O8">
        <f ca="1">COUNTIFS(Assignments[POKOJ], $A$8, Assignments[DATUM PŘÍJEZDU], "&lt;=" &amp; O5, Assignments[DATUM ODJEZDU], "&gt;=" &amp; O5)</f>
        <v>0</v>
      </c>
      <c r="P8">
        <f ca="1">COUNTIFS(Assignments[POKOJ], $A$8, Assignments[DATUM PŘÍJEZDU], "&lt;=" &amp; P5, Assignments[DATUM ODJEZDU], "&gt;=" &amp; P5)</f>
        <v>0</v>
      </c>
      <c r="Q8">
        <f ca="1">COUNTIFS(Assignments[POKOJ], $A$8, Assignments[DATUM PŘÍJEZDU], "&lt;=" &amp; Q5, Assignments[DATUM ODJEZDU], "&gt;=" &amp; Q5)</f>
        <v>0</v>
      </c>
      <c r="R8">
        <f ca="1">COUNTIFS(Assignments[POKOJ], $A$8, Assignments[DATUM PŘÍJEZDU], "&lt;=" &amp; R5, Assignments[DATUM ODJEZDU], "&gt;=" &amp; R5)</f>
        <v>0</v>
      </c>
      <c r="S8" s="3" t="s">
        <v>21</v>
      </c>
      <c r="T8" s="11" t="str">
        <f t="array" aca="1" ref="T8" ca="1">IFERROR(INDEX(Assignments[JMÉNO A PŘÍJMENÍ], MATCH(1, (Assignments[POKOJ]=$A$8)*(Assignments[DATUM PŘÍJEZDU]&lt;L5)*(Assignments[DATUM ODJEZDU]&gt;=L5), 0)), "")</f>
        <v/>
      </c>
      <c r="U8" s="11" t="str">
        <f t="array" aca="1" ref="U8" ca="1">IFERROR(INDEX(Assignments[JMÉNO A PŘÍJMENÍ], MATCH(1, (Assignments[POKOJ]=$A$8)*(Assignments[DATUM PŘÍJEZDU]&lt;=L5)*(Assignments[DATUM ODJEZDU]&gt;L5), 0)), "")</f>
        <v/>
      </c>
      <c r="V8" s="11" t="str">
        <f t="array" aca="1" ref="V8" ca="1">IFERROR(INDEX(Assignments[JMÉNO A PŘÍJMENÍ], MATCH(1, (Assignments[POKOJ]=$A$8)*(Assignments[DATUM PŘÍJEZDU]&lt;M5)*(Assignments[DATUM ODJEZDU]&gt;=M5), 0)), "")</f>
        <v/>
      </c>
      <c r="W8" s="11" t="str">
        <f t="array" aca="1" ref="W8" ca="1">IFERROR(INDEX(Assignments[JMÉNO A PŘÍJMENÍ], MATCH(1, (Assignments[POKOJ]=$A$8)*(Assignments[DATUM PŘÍJEZDU]&lt;=M5)*(Assignments[DATUM ODJEZDU]&gt;M5), 0)), "")</f>
        <v/>
      </c>
      <c r="X8" s="11" t="str">
        <f t="array" aca="1" ref="X8" ca="1">IFERROR(INDEX(Assignments[JMÉNO A PŘÍJMENÍ], MATCH(1, (Assignments[POKOJ]=$A$8)*(Assignments[DATUM PŘÍJEZDU]&lt;N5)*(Assignments[DATUM ODJEZDU]&gt;=N5), 0)), "")</f>
        <v/>
      </c>
      <c r="Y8" s="11" t="str">
        <f t="array" aca="1" ref="Y8" ca="1">IFERROR(INDEX(Assignments[JMÉNO A PŘÍJMENÍ], MATCH(1, (Assignments[POKOJ]=$A$8)*(Assignments[DATUM PŘÍJEZDU]&lt;=N5)*(Assignments[DATUM ODJEZDU]&gt;N5), 0)), "")</f>
        <v/>
      </c>
      <c r="Z8" s="11" t="str">
        <f t="array" aca="1" ref="Z8" ca="1">IFERROR(INDEX(Assignments[JMÉNO A PŘÍJMENÍ], MATCH(1, (Assignments[POKOJ]=$A$8)*(Assignments[DATUM PŘÍJEZDU]&lt;O5)*(Assignments[DATUM ODJEZDU]&gt;=O5), 0)), "")</f>
        <v/>
      </c>
      <c r="AA8" s="11" t="str">
        <f t="array" aca="1" ref="AA8" ca="1">IFERROR(INDEX(Assignments[JMÉNO A PŘÍJMENÍ], MATCH(1, (Assignments[POKOJ]=$A$8)*(Assignments[DATUM PŘÍJEZDU]&lt;=O5)*(Assignments[DATUM ODJEZDU]&gt;O5), 0)), "")</f>
        <v/>
      </c>
      <c r="AB8" s="11" t="str">
        <f t="array" aca="1" ref="AB8" ca="1">IFERROR(INDEX(Assignments[JMÉNO A PŘÍJMENÍ], MATCH(1, (Assignments[POKOJ]=$A$8)*(Assignments[DATUM PŘÍJEZDU]&lt;P5)*(Assignments[DATUM ODJEZDU]&gt;=P5), 0)), "")</f>
        <v/>
      </c>
      <c r="AC8" s="11" t="str">
        <f t="array" aca="1" ref="AC8" ca="1">IFERROR(INDEX(Assignments[JMÉNO A PŘÍJMENÍ], MATCH(1, (Assignments[POKOJ]=$A$8)*(Assignments[DATUM PŘÍJEZDU]&lt;=P5)*(Assignments[DATUM ODJEZDU]&gt;P5), 0)), "")</f>
        <v/>
      </c>
      <c r="AD8" s="11" t="str">
        <f t="array" aca="1" ref="AD8" ca="1">IFERROR(INDEX(Assignments[JMÉNO A PŘÍJMENÍ], MATCH(1, (Assignments[POKOJ]=$A$8)*(Assignments[DATUM PŘÍJEZDU]&lt;Q5)*(Assignments[DATUM ODJEZDU]&gt;=Q5), 0)), "")</f>
        <v/>
      </c>
      <c r="AE8" s="11" t="str">
        <f t="array" aca="1" ref="AE8" ca="1">IFERROR(INDEX(Assignments[JMÉNO A PŘÍJMENÍ], MATCH(1, (Assignments[POKOJ]=$A$8)*(Assignments[DATUM PŘÍJEZDU]&lt;=Q5)*(Assignments[DATUM ODJEZDU]&gt;Q5), 0)), "")</f>
        <v/>
      </c>
      <c r="AF8" s="11" t="str">
        <f t="array" aca="1" ref="AF8" ca="1">IFERROR(INDEX(Assignments[JMÉNO A PŘÍJMENÍ], MATCH(1, (Assignments[POKOJ]=$A$8)*(Assignments[DATUM PŘÍJEZDU]&lt;R5)*(Assignments[DATUM ODJEZDU]&gt;=R5), 0)), "")</f>
        <v/>
      </c>
      <c r="AG8" s="11" t="str">
        <f t="array" aca="1" ref="AG8" ca="1">IFERROR(INDEX(Assignments[JMÉNO A PŘÍJMENÍ], MATCH(1, (Assignments[POKOJ]=$A$8)*(Assignments[DATUM PŘÍJEZDU]&lt;=R5)*(Assignments[DATUM ODJEZDU]&gt;R5), 0)), "")</f>
        <v/>
      </c>
    </row>
    <row r="9" spans="1:33" ht="28.8" thickTop="1" thickBot="1" x14ac:dyDescent="0.3">
      <c r="A9" s="3"/>
      <c r="B9" s="13">
        <f ca="1">IF(LEN(H5)&gt;0,IF(H5=DAY(DATE(MoYear,MoMonthNum+1,0)),"",H5+1),"")</f>
        <v>8</v>
      </c>
      <c r="C9" s="13">
        <f t="shared" ref="C9:H9" ca="1" si="4">IF(LEN(B9)&gt;0,IF(B9=DAY(DATE(MoYear,MoMonthNum+1,0)),"",B9+1),"")</f>
        <v>9</v>
      </c>
      <c r="D9" s="13">
        <f t="shared" ca="1" si="4"/>
        <v>10</v>
      </c>
      <c r="E9" s="13">
        <f t="shared" ca="1" si="4"/>
        <v>11</v>
      </c>
      <c r="F9" s="13">
        <f t="shared" ca="1" si="4"/>
        <v>12</v>
      </c>
      <c r="G9" s="13">
        <f t="shared" ca="1" si="4"/>
        <v>13</v>
      </c>
      <c r="H9" s="13">
        <f t="shared" ca="1" si="4"/>
        <v>14</v>
      </c>
      <c r="L9" s="6">
        <f t="shared" ref="L9:R9" ca="1" si="5">DATE(MoYear,MoMonthNum,B9)</f>
        <v>45908</v>
      </c>
      <c r="M9" s="6">
        <f t="shared" ca="1" si="5"/>
        <v>45909</v>
      </c>
      <c r="N9" s="6">
        <f t="shared" ca="1" si="5"/>
        <v>45910</v>
      </c>
      <c r="O9" s="6">
        <f t="shared" ca="1" si="5"/>
        <v>45911</v>
      </c>
      <c r="P9" s="6">
        <f t="shared" ca="1" si="5"/>
        <v>45912</v>
      </c>
      <c r="Q9" s="6">
        <f t="shared" ca="1" si="5"/>
        <v>45913</v>
      </c>
      <c r="R9" s="6">
        <f t="shared" ca="1" si="5"/>
        <v>45914</v>
      </c>
      <c r="S9" s="3"/>
      <c r="T9" s="26">
        <f ca="1">B9</f>
        <v>8</v>
      </c>
      <c r="U9" s="26"/>
      <c r="V9" s="26">
        <f ca="1">C9</f>
        <v>9</v>
      </c>
      <c r="W9" s="26"/>
      <c r="X9" s="26">
        <f ca="1">D9</f>
        <v>10</v>
      </c>
      <c r="Y9" s="26"/>
      <c r="Z9" s="26">
        <f ca="1">E9</f>
        <v>11</v>
      </c>
      <c r="AA9" s="26"/>
      <c r="AB9" s="26">
        <f ca="1">F9</f>
        <v>12</v>
      </c>
      <c r="AC9" s="26"/>
      <c r="AD9" s="26">
        <f ca="1">G9</f>
        <v>13</v>
      </c>
      <c r="AE9" s="26"/>
      <c r="AF9" s="26">
        <f ca="1">H9</f>
        <v>14</v>
      </c>
      <c r="AG9" s="26"/>
    </row>
    <row r="10" spans="1:33" ht="20.100000000000001" customHeight="1" thickTop="1" thickBot="1" x14ac:dyDescent="0.3">
      <c r="A10" s="3" t="s">
        <v>19</v>
      </c>
      <c r="B10" s="14" t="str">
        <f t="shared" ca="1" si="3"/>
        <v/>
      </c>
      <c r="C10" s="14" t="str">
        <f t="shared" ref="C10:C12" ca="1" si="6">IF(M10&gt;0,"OBSAZENO","")</f>
        <v/>
      </c>
      <c r="D10" s="14" t="str">
        <f t="shared" ref="D10:D12" ca="1" si="7">IF(N10&gt;0,"OBSAZENO","")</f>
        <v/>
      </c>
      <c r="E10" s="14" t="str">
        <f t="shared" ref="E10:E12" ca="1" si="8">IF(O10&gt;0,"OBSAZENO","")</f>
        <v/>
      </c>
      <c r="F10" s="14" t="str">
        <f t="shared" ref="F10:F12" ca="1" si="9">IF(P10&gt;0,"OBSAZENO","")</f>
        <v/>
      </c>
      <c r="G10" s="14" t="str">
        <f t="shared" ref="G10:G12" ca="1" si="10">IF(Q10&gt;0,"OBSAZENO","")</f>
        <v/>
      </c>
      <c r="H10" s="14" t="str">
        <f t="shared" ref="H10:H12" ca="1" si="11">IF(R10&gt;0,"OBSAZENO","")</f>
        <v/>
      </c>
      <c r="L10">
        <f ca="1">COUNTIFS(Assignments[POKOJ], $A$6, Assignments[DATUM PŘÍJEZDU], "&lt;=" &amp; L9, Assignments[DATUM ODJEZDU], "&gt;=" &amp; L9)</f>
        <v>0</v>
      </c>
      <c r="M10">
        <f ca="1">COUNTIFS(Assignments[POKOJ], $A$6, Assignments[DATUM PŘÍJEZDU], "&lt;=" &amp; M9, Assignments[DATUM ODJEZDU], "&gt;=" &amp; M9)</f>
        <v>0</v>
      </c>
      <c r="N10">
        <f ca="1">COUNTIFS(Assignments[POKOJ], $A$6, Assignments[DATUM PŘÍJEZDU], "&lt;=" &amp; N9, Assignments[DATUM ODJEZDU], "&gt;=" &amp; N9)</f>
        <v>0</v>
      </c>
      <c r="O10">
        <f ca="1">COUNTIFS(Assignments[POKOJ], $A$6, Assignments[DATUM PŘÍJEZDU], "&lt;=" &amp; O9, Assignments[DATUM ODJEZDU], "&gt;=" &amp; O9)</f>
        <v>0</v>
      </c>
      <c r="P10">
        <f ca="1">COUNTIFS(Assignments[POKOJ], $A$6, Assignments[DATUM PŘÍJEZDU], "&lt;=" &amp; P9, Assignments[DATUM ODJEZDU], "&gt;=" &amp; P9)</f>
        <v>0</v>
      </c>
      <c r="Q10">
        <f ca="1">COUNTIFS(Assignments[POKOJ], $A$6, Assignments[DATUM PŘÍJEZDU], "&lt;=" &amp; Q9, Assignments[DATUM ODJEZDU], "&gt;=" &amp; Q9)</f>
        <v>0</v>
      </c>
      <c r="R10">
        <f ca="1">COUNTIFS(Assignments[POKOJ], $A$6, Assignments[DATUM PŘÍJEZDU], "&lt;=" &amp; R9, Assignments[DATUM ODJEZDU], "&gt;=" &amp; R9)</f>
        <v>0</v>
      </c>
      <c r="S10" s="3" t="s">
        <v>19</v>
      </c>
      <c r="T10" s="11" t="str">
        <f t="array" aca="1" ref="T10" ca="1">IFERROR(INDEX(Assignments[JMÉNO A PŘÍJMENÍ], MATCH(1, (Assignments[POKOJ]=$A$6)*(Assignments[DATUM PŘÍJEZDU]&lt;L9)*(Assignments[DATUM ODJEZDU]&gt;=L9), 0)), "")</f>
        <v/>
      </c>
      <c r="U10" s="11" t="str">
        <f t="array" aca="1" ref="U10" ca="1">IFERROR(INDEX(Assignments[JMÉNO A PŘÍJMENÍ], MATCH(1, (Assignments[POKOJ]=$A$6)*(Assignments[DATUM PŘÍJEZDU]&lt;=L9)*(Assignments[DATUM ODJEZDU]&gt;L9), 0)), "")</f>
        <v/>
      </c>
      <c r="V10" s="11" t="str">
        <f t="array" aca="1" ref="V10" ca="1">IFERROR(INDEX(Assignments[JMÉNO A PŘÍJMENÍ], MATCH(1, (Assignments[POKOJ]=$A$6)*(Assignments[DATUM PŘÍJEZDU]&lt;M9)*(Assignments[DATUM ODJEZDU]&gt;=M9), 0)), "")</f>
        <v/>
      </c>
      <c r="W10" s="11" t="str">
        <f t="array" aca="1" ref="W10" ca="1">IFERROR(INDEX(Assignments[JMÉNO A PŘÍJMENÍ], MATCH(1, (Assignments[POKOJ]=$A$6)*(Assignments[DATUM PŘÍJEZDU]&lt;=M9)*(Assignments[DATUM ODJEZDU]&gt;M9), 0)), "")</f>
        <v/>
      </c>
      <c r="X10" s="11" t="str">
        <f t="array" aca="1" ref="X10" ca="1">IFERROR(INDEX(Assignments[JMÉNO A PŘÍJMENÍ], MATCH(1, (Assignments[POKOJ]=$A$6)*(Assignments[DATUM PŘÍJEZDU]&lt;N9)*(Assignments[DATUM ODJEZDU]&gt;=N9), 0)), "")</f>
        <v/>
      </c>
      <c r="Y10" s="11" t="str">
        <f t="array" aca="1" ref="Y10" ca="1">IFERROR(INDEX(Assignments[JMÉNO A PŘÍJMENÍ], MATCH(1, (Assignments[POKOJ]=$A$6)*(Assignments[DATUM PŘÍJEZDU]&lt;=N9)*(Assignments[DATUM ODJEZDU]&gt;N9), 0)), "")</f>
        <v/>
      </c>
      <c r="Z10" s="11" t="str">
        <f t="array" aca="1" ref="Z10" ca="1">IFERROR(INDEX(Assignments[JMÉNO A PŘÍJMENÍ], MATCH(1, (Assignments[POKOJ]=$A$6)*(Assignments[DATUM PŘÍJEZDU]&lt;O9)*(Assignments[DATUM ODJEZDU]&gt;=O9), 0)), "")</f>
        <v/>
      </c>
      <c r="AA10" s="11" t="str">
        <f t="array" aca="1" ref="AA10" ca="1">IFERROR(INDEX(Assignments[JMÉNO A PŘÍJMENÍ], MATCH(1, (Assignments[POKOJ]=$A$6)*(Assignments[DATUM PŘÍJEZDU]&lt;=O9)*(Assignments[DATUM ODJEZDU]&gt;O9), 0)), "")</f>
        <v/>
      </c>
      <c r="AB10" s="11" t="str">
        <f t="array" aca="1" ref="AB10" ca="1">IFERROR(INDEX(Assignments[JMÉNO A PŘÍJMENÍ], MATCH(1, (Assignments[POKOJ]=$A$6)*(Assignments[DATUM PŘÍJEZDU]&lt;P9)*(Assignments[DATUM ODJEZDU]&gt;=P9), 0)), "")</f>
        <v/>
      </c>
      <c r="AC10" s="11" t="str">
        <f t="array" aca="1" ref="AC10" ca="1">IFERROR(INDEX(Assignments[JMÉNO A PŘÍJMENÍ], MATCH(1, (Assignments[POKOJ]=$A$6)*(Assignments[DATUM PŘÍJEZDU]&lt;=P9)*(Assignments[DATUM ODJEZDU]&gt;P9), 0)), "")</f>
        <v/>
      </c>
      <c r="AD10" s="11" t="str">
        <f t="array" aca="1" ref="AD10" ca="1">IFERROR(INDEX(Assignments[JMÉNO A PŘÍJMENÍ], MATCH(1, (Assignments[POKOJ]=$A$6)*(Assignments[DATUM PŘÍJEZDU]&lt;Q9)*(Assignments[DATUM ODJEZDU]&gt;=Q9), 0)), "")</f>
        <v/>
      </c>
      <c r="AE10" s="11" t="str">
        <f t="array" aca="1" ref="AE10" ca="1">IFERROR(INDEX(Assignments[JMÉNO A PŘÍJMENÍ], MATCH(1, (Assignments[POKOJ]=$A$6)*(Assignments[DATUM PŘÍJEZDU]&lt;=Q9)*(Assignments[DATUM ODJEZDU]&gt;Q9), 0)), "")</f>
        <v/>
      </c>
      <c r="AF10" s="11" t="str">
        <f t="array" aca="1" ref="AF10" ca="1">IFERROR(INDEX(Assignments[JMÉNO A PŘÍJMENÍ], MATCH(1, (Assignments[POKOJ]=$A$6)*(Assignments[DATUM PŘÍJEZDU]&lt;R9)*(Assignments[DATUM ODJEZDU]&gt;=R9), 0)), "")</f>
        <v/>
      </c>
      <c r="AG10" s="11" t="str">
        <f t="array" aca="1" ref="AG10" ca="1">IFERROR(INDEX(Assignments[JMÉNO A PŘÍJMENÍ], MATCH(1, (Assignments[POKOJ]=$A$6)*(Assignments[DATUM PŘÍJEZDU]&lt;=R9)*(Assignments[DATUM ODJEZDU]&gt;R9), 0)), "")</f>
        <v/>
      </c>
    </row>
    <row r="11" spans="1:33" ht="20.100000000000001" customHeight="1" thickTop="1" thickBot="1" x14ac:dyDescent="0.3">
      <c r="A11" s="3" t="s">
        <v>20</v>
      </c>
      <c r="B11" s="14" t="str">
        <f t="shared" ca="1" si="3"/>
        <v/>
      </c>
      <c r="C11" s="14" t="str">
        <f t="shared" ca="1" si="6"/>
        <v/>
      </c>
      <c r="D11" s="14" t="str">
        <f t="shared" ca="1" si="7"/>
        <v/>
      </c>
      <c r="E11" s="14" t="str">
        <f t="shared" ca="1" si="8"/>
        <v/>
      </c>
      <c r="F11" s="14" t="str">
        <f t="shared" ca="1" si="9"/>
        <v/>
      </c>
      <c r="G11" s="14" t="str">
        <f t="shared" ca="1" si="10"/>
        <v/>
      </c>
      <c r="H11" s="14" t="str">
        <f t="shared" ca="1" si="11"/>
        <v/>
      </c>
      <c r="L11">
        <f ca="1">COUNTIFS(Assignments[POKOJ], $A$7, Assignments[DATUM PŘÍJEZDU], "&lt;=" &amp; L9, Assignments[DATUM ODJEZDU], "&gt;=" &amp; L9)</f>
        <v>0</v>
      </c>
      <c r="M11">
        <f ca="1">COUNTIFS(Assignments[POKOJ], $A$7, Assignments[DATUM PŘÍJEZDU], "&lt;=" &amp; M9, Assignments[DATUM ODJEZDU], "&gt;=" &amp; M9)</f>
        <v>0</v>
      </c>
      <c r="N11">
        <f ca="1">COUNTIFS(Assignments[POKOJ], $A$7, Assignments[DATUM PŘÍJEZDU], "&lt;=" &amp; N9, Assignments[DATUM ODJEZDU], "&gt;=" &amp; N9)</f>
        <v>0</v>
      </c>
      <c r="O11">
        <f ca="1">COUNTIFS(Assignments[POKOJ], $A$7, Assignments[DATUM PŘÍJEZDU], "&lt;=" &amp; O9, Assignments[DATUM ODJEZDU], "&gt;=" &amp; O9)</f>
        <v>0</v>
      </c>
      <c r="P11">
        <f ca="1">COUNTIFS(Assignments[POKOJ], $A$7, Assignments[DATUM PŘÍJEZDU], "&lt;=" &amp; P9, Assignments[DATUM ODJEZDU], "&gt;=" &amp; P9)</f>
        <v>0</v>
      </c>
      <c r="Q11">
        <f ca="1">COUNTIFS(Assignments[POKOJ], $A$7, Assignments[DATUM PŘÍJEZDU], "&lt;=" &amp; Q9, Assignments[DATUM ODJEZDU], "&gt;=" &amp; Q9)</f>
        <v>0</v>
      </c>
      <c r="R11">
        <f ca="1">COUNTIFS(Assignments[POKOJ], $A$7, Assignments[DATUM PŘÍJEZDU], "&lt;=" &amp; R9, Assignments[DATUM ODJEZDU], "&gt;=" &amp; R9)</f>
        <v>0</v>
      </c>
      <c r="S11" s="3" t="s">
        <v>20</v>
      </c>
      <c r="T11" s="11" t="str">
        <f t="array" aca="1" ref="T11" ca="1">IFERROR(INDEX(Assignments[JMÉNO A PŘÍJMENÍ], MATCH(1, (Assignments[POKOJ]=$A$7)*(Assignments[DATUM PŘÍJEZDU]&lt;L9)*(Assignments[DATUM ODJEZDU]&gt;=L9), 0)), "")</f>
        <v/>
      </c>
      <c r="U11" s="11" t="str">
        <f t="array" aca="1" ref="U11" ca="1">IFERROR(INDEX(Assignments[JMÉNO A PŘÍJMENÍ], MATCH(1, (Assignments[POKOJ]=$A$7)*(Assignments[DATUM PŘÍJEZDU]&lt;=L9)*(Assignments[DATUM ODJEZDU]&gt;L9), 0)), "")</f>
        <v/>
      </c>
      <c r="V11" s="11" t="str">
        <f t="array" aca="1" ref="V11" ca="1">IFERROR(INDEX(Assignments[JMÉNO A PŘÍJMENÍ], MATCH(1, (Assignments[POKOJ]=$A$7)*(Assignments[DATUM PŘÍJEZDU]&lt;M9)*(Assignments[DATUM ODJEZDU]&gt;=M9), 0)), "")</f>
        <v/>
      </c>
      <c r="W11" s="11" t="str">
        <f t="array" aca="1" ref="W11" ca="1">IFERROR(INDEX(Assignments[JMÉNO A PŘÍJMENÍ], MATCH(1, (Assignments[POKOJ]=$A$7)*(Assignments[DATUM PŘÍJEZDU]&lt;=M9)*(Assignments[DATUM ODJEZDU]&gt;M9), 0)), "")</f>
        <v/>
      </c>
      <c r="X11" s="11" t="str">
        <f t="array" aca="1" ref="X11" ca="1">IFERROR(INDEX(Assignments[JMÉNO A PŘÍJMENÍ], MATCH(1, (Assignments[POKOJ]=$A$7)*(Assignments[DATUM PŘÍJEZDU]&lt;N9)*(Assignments[DATUM ODJEZDU]&gt;=N9), 0)), "")</f>
        <v/>
      </c>
      <c r="Y11" s="11" t="str">
        <f t="array" aca="1" ref="Y11" ca="1">IFERROR(INDEX(Assignments[JMÉNO A PŘÍJMENÍ], MATCH(1, (Assignments[POKOJ]=$A$7)*(Assignments[DATUM PŘÍJEZDU]&lt;=N9)*(Assignments[DATUM ODJEZDU]&gt;N9), 0)), "")</f>
        <v/>
      </c>
      <c r="Z11" s="11" t="str">
        <f t="array" aca="1" ref="Z11" ca="1">IFERROR(INDEX(Assignments[JMÉNO A PŘÍJMENÍ], MATCH(1, (Assignments[POKOJ]=$A$7)*(Assignments[DATUM PŘÍJEZDU]&lt;O9)*(Assignments[DATUM ODJEZDU]&gt;=O9), 0)), "")</f>
        <v/>
      </c>
      <c r="AA11" s="11" t="str">
        <f t="array" aca="1" ref="AA11" ca="1">IFERROR(INDEX(Assignments[JMÉNO A PŘÍJMENÍ], MATCH(1, (Assignments[POKOJ]=$A$7)*(Assignments[DATUM PŘÍJEZDU]&lt;=O9)*(Assignments[DATUM ODJEZDU]&gt;O9), 0)), "")</f>
        <v/>
      </c>
      <c r="AB11" s="11" t="str">
        <f t="array" aca="1" ref="AB11" ca="1">IFERROR(INDEX(Assignments[JMÉNO A PŘÍJMENÍ], MATCH(1, (Assignments[POKOJ]=$A$7)*(Assignments[DATUM PŘÍJEZDU]&lt;P9)*(Assignments[DATUM ODJEZDU]&gt;=P9), 0)), "")</f>
        <v/>
      </c>
      <c r="AC11" s="11" t="str">
        <f t="array" aca="1" ref="AC11" ca="1">IFERROR(INDEX(Assignments[JMÉNO A PŘÍJMENÍ], MATCH(1, (Assignments[POKOJ]=$A$7)*(Assignments[DATUM PŘÍJEZDU]&lt;=P9)*(Assignments[DATUM ODJEZDU]&gt;P9), 0)), "")</f>
        <v/>
      </c>
      <c r="AD11" s="11" t="str">
        <f t="array" aca="1" ref="AD11" ca="1">IFERROR(INDEX(Assignments[JMÉNO A PŘÍJMENÍ], MATCH(1, (Assignments[POKOJ]=$A$7)*(Assignments[DATUM PŘÍJEZDU]&lt;Q9)*(Assignments[DATUM ODJEZDU]&gt;=Q9), 0)), "")</f>
        <v/>
      </c>
      <c r="AE11" s="11" t="str">
        <f t="array" aca="1" ref="AE11" ca="1">IFERROR(INDEX(Assignments[JMÉNO A PŘÍJMENÍ], MATCH(1, (Assignments[POKOJ]=$A$7)*(Assignments[DATUM PŘÍJEZDU]&lt;=Q9)*(Assignments[DATUM ODJEZDU]&gt;Q9), 0)), "")</f>
        <v/>
      </c>
      <c r="AF11" s="11" t="str">
        <f t="array" aca="1" ref="AF11" ca="1">IFERROR(INDEX(Assignments[JMÉNO A PŘÍJMENÍ], MATCH(1, (Assignments[POKOJ]=$A$7)*(Assignments[DATUM PŘÍJEZDU]&lt;R9)*(Assignments[DATUM ODJEZDU]&gt;=R9), 0)), "")</f>
        <v/>
      </c>
      <c r="AG11" s="11" t="str">
        <f t="array" aca="1" ref="AG11" ca="1">IFERROR(INDEX(Assignments[JMÉNO A PŘÍJMENÍ], MATCH(1, (Assignments[POKOJ]=$A$7)*(Assignments[DATUM PŘÍJEZDU]&lt;=R9)*(Assignments[DATUM ODJEZDU]&gt;R9), 0)), "")</f>
        <v/>
      </c>
    </row>
    <row r="12" spans="1:33" ht="20.100000000000001" customHeight="1" thickTop="1" thickBot="1" x14ac:dyDescent="0.3">
      <c r="A12" s="3" t="s">
        <v>21</v>
      </c>
      <c r="B12" s="14" t="str">
        <f t="shared" ca="1" si="3"/>
        <v/>
      </c>
      <c r="C12" s="14" t="str">
        <f t="shared" ca="1" si="6"/>
        <v/>
      </c>
      <c r="D12" s="14" t="str">
        <f t="shared" ca="1" si="7"/>
        <v/>
      </c>
      <c r="E12" s="14" t="str">
        <f t="shared" ca="1" si="8"/>
        <v/>
      </c>
      <c r="F12" s="14" t="str">
        <f t="shared" ca="1" si="9"/>
        <v/>
      </c>
      <c r="G12" s="14" t="str">
        <f t="shared" ca="1" si="10"/>
        <v/>
      </c>
      <c r="H12" s="14" t="str">
        <f t="shared" ca="1" si="11"/>
        <v/>
      </c>
      <c r="L12">
        <f ca="1">COUNTIFS(Assignments[POKOJ], $A$8, Assignments[DATUM PŘÍJEZDU], "&lt;=" &amp; L9, Assignments[DATUM ODJEZDU], "&gt;=" &amp; L9)</f>
        <v>0</v>
      </c>
      <c r="M12">
        <f ca="1">COUNTIFS(Assignments[POKOJ], $A$8, Assignments[DATUM PŘÍJEZDU], "&lt;=" &amp; M9, Assignments[DATUM ODJEZDU], "&gt;=" &amp; M9)</f>
        <v>0</v>
      </c>
      <c r="N12">
        <f ca="1">COUNTIFS(Assignments[POKOJ], $A$8, Assignments[DATUM PŘÍJEZDU], "&lt;=" &amp; N9, Assignments[DATUM ODJEZDU], "&gt;=" &amp; N9)</f>
        <v>0</v>
      </c>
      <c r="O12">
        <f ca="1">COUNTIFS(Assignments[POKOJ], $A$8, Assignments[DATUM PŘÍJEZDU], "&lt;=" &amp; O9, Assignments[DATUM ODJEZDU], "&gt;=" &amp; O9)</f>
        <v>0</v>
      </c>
      <c r="P12">
        <f ca="1">COUNTIFS(Assignments[POKOJ], $A$8, Assignments[DATUM PŘÍJEZDU], "&lt;=" &amp; P9, Assignments[DATUM ODJEZDU], "&gt;=" &amp; P9)</f>
        <v>0</v>
      </c>
      <c r="Q12">
        <f ca="1">COUNTIFS(Assignments[POKOJ], $A$8, Assignments[DATUM PŘÍJEZDU], "&lt;=" &amp; Q9, Assignments[DATUM ODJEZDU], "&gt;=" &amp; Q9)</f>
        <v>0</v>
      </c>
      <c r="R12">
        <f ca="1">COUNTIFS(Assignments[POKOJ], $A$8, Assignments[DATUM PŘÍJEZDU], "&lt;=" &amp; R9, Assignments[DATUM ODJEZDU], "&gt;=" &amp; R9)</f>
        <v>0</v>
      </c>
      <c r="S12" s="3" t="s">
        <v>21</v>
      </c>
      <c r="T12" s="11" t="str">
        <f t="array" aca="1" ref="T12" ca="1">IFERROR(INDEX(Assignments[JMÉNO A PŘÍJMENÍ], MATCH(1, (Assignments[POKOJ]=$A$8)*(Assignments[DATUM PŘÍJEZDU]&lt;L9)*(Assignments[DATUM ODJEZDU]&gt;=L9), 0)), "")</f>
        <v/>
      </c>
      <c r="U12" s="11" t="str">
        <f t="array" aca="1" ref="U12" ca="1">IFERROR(INDEX(Assignments[JMÉNO A PŘÍJMENÍ], MATCH(1, (Assignments[POKOJ]=$A$8)*(Assignments[DATUM PŘÍJEZDU]&lt;=L9)*(Assignments[DATUM ODJEZDU]&gt;L9), 0)), "")</f>
        <v/>
      </c>
      <c r="V12" s="11" t="str">
        <f t="array" aca="1" ref="V12" ca="1">IFERROR(INDEX(Assignments[JMÉNO A PŘÍJMENÍ], MATCH(1, (Assignments[POKOJ]=$A$8)*(Assignments[DATUM PŘÍJEZDU]&lt;M9)*(Assignments[DATUM ODJEZDU]&gt;=M9), 0)), "")</f>
        <v/>
      </c>
      <c r="W12" s="11" t="str">
        <f t="array" aca="1" ref="W12" ca="1">IFERROR(INDEX(Assignments[JMÉNO A PŘÍJMENÍ], MATCH(1, (Assignments[POKOJ]=$A$8)*(Assignments[DATUM PŘÍJEZDU]&lt;=M9)*(Assignments[DATUM ODJEZDU]&gt;M9), 0)), "")</f>
        <v/>
      </c>
      <c r="X12" s="11" t="str">
        <f t="array" aca="1" ref="X12" ca="1">IFERROR(INDEX(Assignments[JMÉNO A PŘÍJMENÍ], MATCH(1, (Assignments[POKOJ]=$A$8)*(Assignments[DATUM PŘÍJEZDU]&lt;N9)*(Assignments[DATUM ODJEZDU]&gt;=N9), 0)), "")</f>
        <v/>
      </c>
      <c r="Y12" s="11" t="str">
        <f t="array" aca="1" ref="Y12" ca="1">IFERROR(INDEX(Assignments[JMÉNO A PŘÍJMENÍ], MATCH(1, (Assignments[POKOJ]=$A$8)*(Assignments[DATUM PŘÍJEZDU]&lt;=N9)*(Assignments[DATUM ODJEZDU]&gt;N9), 0)), "")</f>
        <v/>
      </c>
      <c r="Z12" s="11" t="str">
        <f t="array" aca="1" ref="Z12" ca="1">IFERROR(INDEX(Assignments[JMÉNO A PŘÍJMENÍ], MATCH(1, (Assignments[POKOJ]=$A$8)*(Assignments[DATUM PŘÍJEZDU]&lt;O9)*(Assignments[DATUM ODJEZDU]&gt;=O9), 0)), "")</f>
        <v/>
      </c>
      <c r="AA12" s="11" t="str">
        <f t="array" aca="1" ref="AA12" ca="1">IFERROR(INDEX(Assignments[JMÉNO A PŘÍJMENÍ], MATCH(1, (Assignments[POKOJ]=$A$8)*(Assignments[DATUM PŘÍJEZDU]&lt;=O9)*(Assignments[DATUM ODJEZDU]&gt;O9), 0)), "")</f>
        <v/>
      </c>
      <c r="AB12" s="11" t="str">
        <f t="array" aca="1" ref="AB12" ca="1">IFERROR(INDEX(Assignments[JMÉNO A PŘÍJMENÍ], MATCH(1, (Assignments[POKOJ]=$A$8)*(Assignments[DATUM PŘÍJEZDU]&lt;P9)*(Assignments[DATUM ODJEZDU]&gt;=P9), 0)), "")</f>
        <v/>
      </c>
      <c r="AC12" s="11" t="str">
        <f t="array" aca="1" ref="AC12" ca="1">IFERROR(INDEX(Assignments[JMÉNO A PŘÍJMENÍ], MATCH(1, (Assignments[POKOJ]=$A$8)*(Assignments[DATUM PŘÍJEZDU]&lt;=P9)*(Assignments[DATUM ODJEZDU]&gt;P9), 0)), "")</f>
        <v/>
      </c>
      <c r="AD12" s="11" t="str">
        <f t="array" aca="1" ref="AD12" ca="1">IFERROR(INDEX(Assignments[JMÉNO A PŘÍJMENÍ], MATCH(1, (Assignments[POKOJ]=$A$8)*(Assignments[DATUM PŘÍJEZDU]&lt;Q9)*(Assignments[DATUM ODJEZDU]&gt;=Q9), 0)), "")</f>
        <v/>
      </c>
      <c r="AE12" s="11" t="str">
        <f t="array" aca="1" ref="AE12" ca="1">IFERROR(INDEX(Assignments[JMÉNO A PŘÍJMENÍ], MATCH(1, (Assignments[POKOJ]=$A$8)*(Assignments[DATUM PŘÍJEZDU]&lt;=Q9)*(Assignments[DATUM ODJEZDU]&gt;Q9), 0)), "")</f>
        <v/>
      </c>
      <c r="AF12" s="11" t="str">
        <f t="array" aca="1" ref="AF12" ca="1">IFERROR(INDEX(Assignments[JMÉNO A PŘÍJMENÍ], MATCH(1, (Assignments[POKOJ]=$A$8)*(Assignments[DATUM PŘÍJEZDU]&lt;R9)*(Assignments[DATUM ODJEZDU]&gt;=R9), 0)), "")</f>
        <v/>
      </c>
      <c r="AG12" s="11" t="str">
        <f t="array" aca="1" ref="AG12" ca="1">IFERROR(INDEX(Assignments[JMÉNO A PŘÍJMENÍ], MATCH(1, (Assignments[POKOJ]=$A$8)*(Assignments[DATUM PŘÍJEZDU]&lt;=R9)*(Assignments[DATUM ODJEZDU]&gt;R9), 0)), "")</f>
        <v/>
      </c>
    </row>
    <row r="13" spans="1:33" ht="28.8" thickTop="1" thickBot="1" x14ac:dyDescent="0.3">
      <c r="A13" s="3"/>
      <c r="B13" s="13">
        <f ca="1">IF(LEN(H9)&gt;0,IF(H9=DAY(DATE(MoYear,MoMonthNum+1,0)),"",H9+1),"")</f>
        <v>15</v>
      </c>
      <c r="C13" s="13">
        <f t="shared" ref="C13:H13" ca="1" si="12">IF(LEN(B13)&gt;0,IF(B13=DAY(DATE(MoYear,MoMonthNum+1,0)),"",B13+1),"")</f>
        <v>16</v>
      </c>
      <c r="D13" s="13">
        <f t="shared" ca="1" si="12"/>
        <v>17</v>
      </c>
      <c r="E13" s="13">
        <f t="shared" ca="1" si="12"/>
        <v>18</v>
      </c>
      <c r="F13" s="13">
        <f t="shared" ca="1" si="12"/>
        <v>19</v>
      </c>
      <c r="G13" s="13">
        <f t="shared" ca="1" si="12"/>
        <v>20</v>
      </c>
      <c r="H13" s="13">
        <f t="shared" ca="1" si="12"/>
        <v>21</v>
      </c>
      <c r="L13" s="6">
        <f t="shared" ref="L13:R13" ca="1" si="13">DATE(MoYear,MoMonthNum,B13)</f>
        <v>45915</v>
      </c>
      <c r="M13" s="6">
        <f t="shared" ca="1" si="13"/>
        <v>45916</v>
      </c>
      <c r="N13" s="6">
        <f t="shared" ca="1" si="13"/>
        <v>45917</v>
      </c>
      <c r="O13" s="6">
        <f t="shared" ca="1" si="13"/>
        <v>45918</v>
      </c>
      <c r="P13" s="6">
        <f t="shared" ca="1" si="13"/>
        <v>45919</v>
      </c>
      <c r="Q13" s="6">
        <f t="shared" ca="1" si="13"/>
        <v>45920</v>
      </c>
      <c r="R13" s="6">
        <f t="shared" ca="1" si="13"/>
        <v>45921</v>
      </c>
      <c r="S13" s="3"/>
      <c r="T13" s="26">
        <f ca="1">B13</f>
        <v>15</v>
      </c>
      <c r="U13" s="26"/>
      <c r="V13" s="26">
        <f ca="1">C13</f>
        <v>16</v>
      </c>
      <c r="W13" s="26"/>
      <c r="X13" s="26">
        <f ca="1">D13</f>
        <v>17</v>
      </c>
      <c r="Y13" s="26"/>
      <c r="Z13" s="26">
        <f ca="1">E13</f>
        <v>18</v>
      </c>
      <c r="AA13" s="26"/>
      <c r="AB13" s="26">
        <f ca="1">F13</f>
        <v>19</v>
      </c>
      <c r="AC13" s="26"/>
      <c r="AD13" s="26">
        <f ca="1">G13</f>
        <v>20</v>
      </c>
      <c r="AE13" s="26"/>
      <c r="AF13" s="26">
        <f ca="1">H13</f>
        <v>21</v>
      </c>
      <c r="AG13" s="26"/>
    </row>
    <row r="14" spans="1:33" ht="20.100000000000001" customHeight="1" thickTop="1" thickBot="1" x14ac:dyDescent="0.3">
      <c r="A14" s="3" t="s">
        <v>19</v>
      </c>
      <c r="B14" s="14" t="str">
        <f t="shared" ca="1" si="3"/>
        <v/>
      </c>
      <c r="C14" s="14" t="str">
        <f t="shared" ref="C14:C16" ca="1" si="14">IF(M14&gt;0,"OBSAZENO","")</f>
        <v/>
      </c>
      <c r="D14" s="14" t="str">
        <f t="shared" ref="D14:D16" ca="1" si="15">IF(N14&gt;0,"OBSAZENO","")</f>
        <v/>
      </c>
      <c r="E14" s="14" t="str">
        <f t="shared" ref="E14:E16" ca="1" si="16">IF(O14&gt;0,"OBSAZENO","")</f>
        <v/>
      </c>
      <c r="F14" s="14" t="str">
        <f t="shared" ref="F14:F16" ca="1" si="17">IF(P14&gt;0,"OBSAZENO","")</f>
        <v/>
      </c>
      <c r="G14" s="14" t="str">
        <f t="shared" ref="G14:G16" ca="1" si="18">IF(Q14&gt;0,"OBSAZENO","")</f>
        <v/>
      </c>
      <c r="H14" s="14" t="str">
        <f t="shared" ref="H14:H16" ca="1" si="19">IF(R14&gt;0,"OBSAZENO","")</f>
        <v/>
      </c>
      <c r="L14">
        <f ca="1">COUNTIFS(Assignments[POKOJ], $A$6, Assignments[DATUM PŘÍJEZDU], "&lt;=" &amp; L13, Assignments[DATUM ODJEZDU], "&gt;=" &amp; L13)</f>
        <v>0</v>
      </c>
      <c r="M14">
        <f ca="1">COUNTIFS(Assignments[POKOJ], $A$6, Assignments[DATUM PŘÍJEZDU], "&lt;=" &amp; M13, Assignments[DATUM ODJEZDU], "&gt;=" &amp; M13)</f>
        <v>0</v>
      </c>
      <c r="N14">
        <f ca="1">COUNTIFS(Assignments[POKOJ], $A$6, Assignments[DATUM PŘÍJEZDU], "&lt;=" &amp; N13, Assignments[DATUM ODJEZDU], "&gt;=" &amp; N13)</f>
        <v>0</v>
      </c>
      <c r="O14">
        <f ca="1">COUNTIFS(Assignments[POKOJ], $A$6, Assignments[DATUM PŘÍJEZDU], "&lt;=" &amp; O13, Assignments[DATUM ODJEZDU], "&gt;=" &amp; O13)</f>
        <v>0</v>
      </c>
      <c r="P14">
        <f ca="1">COUNTIFS(Assignments[POKOJ], $A$6, Assignments[DATUM PŘÍJEZDU], "&lt;=" &amp; P13, Assignments[DATUM ODJEZDU], "&gt;=" &amp; P13)</f>
        <v>0</v>
      </c>
      <c r="Q14">
        <f ca="1">COUNTIFS(Assignments[POKOJ], $A$6, Assignments[DATUM PŘÍJEZDU], "&lt;=" &amp; Q13, Assignments[DATUM ODJEZDU], "&gt;=" &amp; Q13)</f>
        <v>0</v>
      </c>
      <c r="R14">
        <f ca="1">COUNTIFS(Assignments[POKOJ], $A$6, Assignments[DATUM PŘÍJEZDU], "&lt;=" &amp; R13, Assignments[DATUM ODJEZDU], "&gt;=" &amp; R13)</f>
        <v>0</v>
      </c>
      <c r="S14" s="3" t="s">
        <v>19</v>
      </c>
      <c r="T14" s="11" t="str">
        <f t="array" aca="1" ref="T14" ca="1">IFERROR(INDEX(Assignments[JMÉNO A PŘÍJMENÍ], MATCH(1, (Assignments[POKOJ]=$A$6)*(Assignments[DATUM PŘÍJEZDU]&lt;L13)*(Assignments[DATUM ODJEZDU]&gt;=L13), 0)), "")</f>
        <v/>
      </c>
      <c r="U14" s="11" t="str">
        <f t="array" aca="1" ref="U14" ca="1">IFERROR(INDEX(Assignments[JMÉNO A PŘÍJMENÍ], MATCH(1, (Assignments[POKOJ]=$A$6)*(Assignments[DATUM PŘÍJEZDU]&lt;=L13)*(Assignments[DATUM ODJEZDU]&gt;L13), 0)), "")</f>
        <v/>
      </c>
      <c r="V14" s="11" t="str">
        <f t="array" aca="1" ref="V14" ca="1">IFERROR(INDEX(Assignments[JMÉNO A PŘÍJMENÍ], MATCH(1, (Assignments[POKOJ]=$A$6)*(Assignments[DATUM PŘÍJEZDU]&lt;M13)*(Assignments[DATUM ODJEZDU]&gt;=M13), 0)), "")</f>
        <v/>
      </c>
      <c r="W14" s="11" t="str">
        <f t="array" aca="1" ref="W14" ca="1">IFERROR(INDEX(Assignments[JMÉNO A PŘÍJMENÍ], MATCH(1, (Assignments[POKOJ]=$A$6)*(Assignments[DATUM PŘÍJEZDU]&lt;=M13)*(Assignments[DATUM ODJEZDU]&gt;M13), 0)), "")</f>
        <v/>
      </c>
      <c r="X14" s="11" t="str">
        <f t="array" aca="1" ref="X14" ca="1">IFERROR(INDEX(Assignments[JMÉNO A PŘÍJMENÍ], MATCH(1, (Assignments[POKOJ]=$A$6)*(Assignments[DATUM PŘÍJEZDU]&lt;N13)*(Assignments[DATUM ODJEZDU]&gt;=N13), 0)), "")</f>
        <v/>
      </c>
      <c r="Y14" s="11" t="str">
        <f t="array" aca="1" ref="Y14" ca="1">IFERROR(INDEX(Assignments[JMÉNO A PŘÍJMENÍ], MATCH(1, (Assignments[POKOJ]=$A$6)*(Assignments[DATUM PŘÍJEZDU]&lt;=N13)*(Assignments[DATUM ODJEZDU]&gt;N13), 0)), "")</f>
        <v/>
      </c>
      <c r="Z14" s="11" t="str">
        <f t="array" aca="1" ref="Z14" ca="1">IFERROR(INDEX(Assignments[JMÉNO A PŘÍJMENÍ], MATCH(1, (Assignments[POKOJ]=$A$6)*(Assignments[DATUM PŘÍJEZDU]&lt;O13)*(Assignments[DATUM ODJEZDU]&gt;=O13), 0)), "")</f>
        <v/>
      </c>
      <c r="AA14" s="11" t="str">
        <f t="array" aca="1" ref="AA14" ca="1">IFERROR(INDEX(Assignments[JMÉNO A PŘÍJMENÍ], MATCH(1, (Assignments[POKOJ]=$A$6)*(Assignments[DATUM PŘÍJEZDU]&lt;=O13)*(Assignments[DATUM ODJEZDU]&gt;O13), 0)), "")</f>
        <v/>
      </c>
      <c r="AB14" s="11" t="str">
        <f t="array" aca="1" ref="AB14" ca="1">IFERROR(INDEX(Assignments[JMÉNO A PŘÍJMENÍ], MATCH(1, (Assignments[POKOJ]=$A$6)*(Assignments[DATUM PŘÍJEZDU]&lt;P13)*(Assignments[DATUM ODJEZDU]&gt;=P13), 0)), "")</f>
        <v/>
      </c>
      <c r="AC14" s="11" t="str">
        <f t="array" aca="1" ref="AC14" ca="1">IFERROR(INDEX(Assignments[JMÉNO A PŘÍJMENÍ], MATCH(1, (Assignments[POKOJ]=$A$6)*(Assignments[DATUM PŘÍJEZDU]&lt;=P13)*(Assignments[DATUM ODJEZDU]&gt;P13), 0)), "")</f>
        <v/>
      </c>
      <c r="AD14" s="11" t="str">
        <f t="array" aca="1" ref="AD14" ca="1">IFERROR(INDEX(Assignments[JMÉNO A PŘÍJMENÍ], MATCH(1, (Assignments[POKOJ]=$A$6)*(Assignments[DATUM PŘÍJEZDU]&lt;Q13)*(Assignments[DATUM ODJEZDU]&gt;=Q13), 0)), "")</f>
        <v/>
      </c>
      <c r="AE14" s="11" t="str">
        <f t="array" aca="1" ref="AE14" ca="1">IFERROR(INDEX(Assignments[JMÉNO A PŘÍJMENÍ], MATCH(1, (Assignments[POKOJ]=$A$6)*(Assignments[DATUM PŘÍJEZDU]&lt;=Q13)*(Assignments[DATUM ODJEZDU]&gt;Q13), 0)), "")</f>
        <v/>
      </c>
      <c r="AF14" s="11" t="str">
        <f t="array" aca="1" ref="AF14" ca="1">IFERROR(INDEX(Assignments[JMÉNO A PŘÍJMENÍ], MATCH(1, (Assignments[POKOJ]=$A$6)*(Assignments[DATUM PŘÍJEZDU]&lt;R13)*(Assignments[DATUM ODJEZDU]&gt;=R13), 0)), "")</f>
        <v/>
      </c>
      <c r="AG14" s="11" t="str">
        <f t="array" aca="1" ref="AG14" ca="1">IFERROR(INDEX(Assignments[JMÉNO A PŘÍJMENÍ], MATCH(1, (Assignments[POKOJ]=$A$6)*(Assignments[DATUM PŘÍJEZDU]&lt;=R13)*(Assignments[DATUM ODJEZDU]&gt;R13), 0)), "")</f>
        <v/>
      </c>
    </row>
    <row r="15" spans="1:33" ht="20.100000000000001" customHeight="1" thickTop="1" thickBot="1" x14ac:dyDescent="0.3">
      <c r="A15" s="3" t="s">
        <v>20</v>
      </c>
      <c r="B15" s="14" t="str">
        <f t="shared" ca="1" si="3"/>
        <v/>
      </c>
      <c r="C15" s="14" t="str">
        <f t="shared" ca="1" si="14"/>
        <v/>
      </c>
      <c r="D15" s="14" t="str">
        <f t="shared" ca="1" si="15"/>
        <v/>
      </c>
      <c r="E15" s="14" t="str">
        <f t="shared" ca="1" si="16"/>
        <v/>
      </c>
      <c r="F15" s="14" t="str">
        <f t="shared" ca="1" si="17"/>
        <v/>
      </c>
      <c r="G15" s="14" t="str">
        <f t="shared" ca="1" si="18"/>
        <v/>
      </c>
      <c r="H15" s="14" t="str">
        <f t="shared" ca="1" si="19"/>
        <v/>
      </c>
      <c r="L15">
        <f ca="1">COUNTIFS(Assignments[POKOJ], $A$7, Assignments[DATUM PŘÍJEZDU], "&lt;=" &amp; L13, Assignments[DATUM ODJEZDU], "&gt;=" &amp; L13)</f>
        <v>0</v>
      </c>
      <c r="M15">
        <f ca="1">COUNTIFS(Assignments[POKOJ], $A$7, Assignments[DATUM PŘÍJEZDU], "&lt;=" &amp; M13, Assignments[DATUM ODJEZDU], "&gt;=" &amp; M13)</f>
        <v>0</v>
      </c>
      <c r="N15">
        <f ca="1">COUNTIFS(Assignments[POKOJ], $A$7, Assignments[DATUM PŘÍJEZDU], "&lt;=" &amp; N13, Assignments[DATUM ODJEZDU], "&gt;=" &amp; N13)</f>
        <v>0</v>
      </c>
      <c r="O15">
        <f ca="1">COUNTIFS(Assignments[POKOJ], $A$7, Assignments[DATUM PŘÍJEZDU], "&lt;=" &amp; O13, Assignments[DATUM ODJEZDU], "&gt;=" &amp; O13)</f>
        <v>0</v>
      </c>
      <c r="P15">
        <f ca="1">COUNTIFS(Assignments[POKOJ], $A$7, Assignments[DATUM PŘÍJEZDU], "&lt;=" &amp; P13, Assignments[DATUM ODJEZDU], "&gt;=" &amp; P13)</f>
        <v>0</v>
      </c>
      <c r="Q15">
        <f ca="1">COUNTIFS(Assignments[POKOJ], $A$7, Assignments[DATUM PŘÍJEZDU], "&lt;=" &amp; Q13, Assignments[DATUM ODJEZDU], "&gt;=" &amp; Q13)</f>
        <v>0</v>
      </c>
      <c r="R15">
        <f ca="1">COUNTIFS(Assignments[POKOJ], $A$7, Assignments[DATUM PŘÍJEZDU], "&lt;=" &amp; R13, Assignments[DATUM ODJEZDU], "&gt;=" &amp; R13)</f>
        <v>0</v>
      </c>
      <c r="S15" s="3" t="s">
        <v>20</v>
      </c>
      <c r="T15" s="11" t="str">
        <f t="array" aca="1" ref="T15" ca="1">IFERROR(INDEX(Assignments[JMÉNO A PŘÍJMENÍ], MATCH(1, (Assignments[POKOJ]=$A$7)*(Assignments[DATUM PŘÍJEZDU]&lt;L13)*(Assignments[DATUM ODJEZDU]&gt;=L13), 0)), "")</f>
        <v/>
      </c>
      <c r="U15" s="11" t="str">
        <f t="array" aca="1" ref="U15" ca="1">IFERROR(INDEX(Assignments[JMÉNO A PŘÍJMENÍ], MATCH(1, (Assignments[POKOJ]=$A$7)*(Assignments[DATUM PŘÍJEZDU]&lt;=L13)*(Assignments[DATUM ODJEZDU]&gt;L13), 0)), "")</f>
        <v/>
      </c>
      <c r="V15" s="11" t="str">
        <f t="array" aca="1" ref="V15" ca="1">IFERROR(INDEX(Assignments[JMÉNO A PŘÍJMENÍ], MATCH(1, (Assignments[POKOJ]=$A$7)*(Assignments[DATUM PŘÍJEZDU]&lt;M13)*(Assignments[DATUM ODJEZDU]&gt;=M13), 0)), "")</f>
        <v/>
      </c>
      <c r="W15" s="11" t="str">
        <f t="array" aca="1" ref="W15" ca="1">IFERROR(INDEX(Assignments[JMÉNO A PŘÍJMENÍ], MATCH(1, (Assignments[POKOJ]=$A$7)*(Assignments[DATUM PŘÍJEZDU]&lt;=M13)*(Assignments[DATUM ODJEZDU]&gt;M13), 0)), "")</f>
        <v/>
      </c>
      <c r="X15" s="11" t="str">
        <f t="array" aca="1" ref="X15" ca="1">IFERROR(INDEX(Assignments[JMÉNO A PŘÍJMENÍ], MATCH(1, (Assignments[POKOJ]=$A$7)*(Assignments[DATUM PŘÍJEZDU]&lt;N13)*(Assignments[DATUM ODJEZDU]&gt;=N13), 0)), "")</f>
        <v/>
      </c>
      <c r="Y15" s="11" t="str">
        <f t="array" aca="1" ref="Y15" ca="1">IFERROR(INDEX(Assignments[JMÉNO A PŘÍJMENÍ], MATCH(1, (Assignments[POKOJ]=$A$7)*(Assignments[DATUM PŘÍJEZDU]&lt;=N13)*(Assignments[DATUM ODJEZDU]&gt;N13), 0)), "")</f>
        <v/>
      </c>
      <c r="Z15" s="11" t="str">
        <f t="array" aca="1" ref="Z15" ca="1">IFERROR(INDEX(Assignments[JMÉNO A PŘÍJMENÍ], MATCH(1, (Assignments[POKOJ]=$A$7)*(Assignments[DATUM PŘÍJEZDU]&lt;O13)*(Assignments[DATUM ODJEZDU]&gt;=O13), 0)), "")</f>
        <v/>
      </c>
      <c r="AA15" s="11" t="str">
        <f t="array" aca="1" ref="AA15" ca="1">IFERROR(INDEX(Assignments[JMÉNO A PŘÍJMENÍ], MATCH(1, (Assignments[POKOJ]=$A$7)*(Assignments[DATUM PŘÍJEZDU]&lt;=O13)*(Assignments[DATUM ODJEZDU]&gt;O13), 0)), "")</f>
        <v/>
      </c>
      <c r="AB15" s="11" t="str">
        <f t="array" aca="1" ref="AB15" ca="1">IFERROR(INDEX(Assignments[JMÉNO A PŘÍJMENÍ], MATCH(1, (Assignments[POKOJ]=$A$7)*(Assignments[DATUM PŘÍJEZDU]&lt;P13)*(Assignments[DATUM ODJEZDU]&gt;=P13), 0)), "")</f>
        <v/>
      </c>
      <c r="AC15" s="11" t="str">
        <f t="array" aca="1" ref="AC15" ca="1">IFERROR(INDEX(Assignments[JMÉNO A PŘÍJMENÍ], MATCH(1, (Assignments[POKOJ]=$A$7)*(Assignments[DATUM PŘÍJEZDU]&lt;=P13)*(Assignments[DATUM ODJEZDU]&gt;P13), 0)), "")</f>
        <v/>
      </c>
      <c r="AD15" s="11" t="str">
        <f t="array" aca="1" ref="AD15" ca="1">IFERROR(INDEX(Assignments[JMÉNO A PŘÍJMENÍ], MATCH(1, (Assignments[POKOJ]=$A$7)*(Assignments[DATUM PŘÍJEZDU]&lt;Q13)*(Assignments[DATUM ODJEZDU]&gt;=Q13), 0)), "")</f>
        <v/>
      </c>
      <c r="AE15" s="11" t="str">
        <f t="array" aca="1" ref="AE15" ca="1">IFERROR(INDEX(Assignments[JMÉNO A PŘÍJMENÍ], MATCH(1, (Assignments[POKOJ]=$A$7)*(Assignments[DATUM PŘÍJEZDU]&lt;=Q13)*(Assignments[DATUM ODJEZDU]&gt;Q13), 0)), "")</f>
        <v/>
      </c>
      <c r="AF15" s="11" t="str">
        <f t="array" aca="1" ref="AF15" ca="1">IFERROR(INDEX(Assignments[JMÉNO A PŘÍJMENÍ], MATCH(1, (Assignments[POKOJ]=$A$7)*(Assignments[DATUM PŘÍJEZDU]&lt;R13)*(Assignments[DATUM ODJEZDU]&gt;=R13), 0)), "")</f>
        <v/>
      </c>
      <c r="AG15" s="11" t="str">
        <f t="array" aca="1" ref="AG15" ca="1">IFERROR(INDEX(Assignments[JMÉNO A PŘÍJMENÍ], MATCH(1, (Assignments[POKOJ]=$A$7)*(Assignments[DATUM PŘÍJEZDU]&lt;=R13)*(Assignments[DATUM ODJEZDU]&gt;R13), 0)), "")</f>
        <v/>
      </c>
    </row>
    <row r="16" spans="1:33" ht="20.100000000000001" customHeight="1" thickTop="1" thickBot="1" x14ac:dyDescent="0.3">
      <c r="A16" s="3" t="s">
        <v>21</v>
      </c>
      <c r="B16" s="14" t="str">
        <f t="shared" ca="1" si="3"/>
        <v/>
      </c>
      <c r="C16" s="14" t="str">
        <f t="shared" ca="1" si="14"/>
        <v/>
      </c>
      <c r="D16" s="14" t="str">
        <f t="shared" ca="1" si="15"/>
        <v/>
      </c>
      <c r="E16" s="14" t="str">
        <f t="shared" ca="1" si="16"/>
        <v/>
      </c>
      <c r="F16" s="14" t="str">
        <f t="shared" ca="1" si="17"/>
        <v/>
      </c>
      <c r="G16" s="14" t="str">
        <f t="shared" ca="1" si="18"/>
        <v/>
      </c>
      <c r="H16" s="14" t="str">
        <f t="shared" ca="1" si="19"/>
        <v/>
      </c>
      <c r="L16">
        <f ca="1">COUNTIFS(Assignments[POKOJ], $A$8, Assignments[DATUM PŘÍJEZDU], "&lt;=" &amp; L13, Assignments[DATUM ODJEZDU], "&gt;=" &amp; L13)</f>
        <v>0</v>
      </c>
      <c r="M16">
        <f ca="1">COUNTIFS(Assignments[POKOJ], $A$8, Assignments[DATUM PŘÍJEZDU], "&lt;=" &amp; M13, Assignments[DATUM ODJEZDU], "&gt;=" &amp; M13)</f>
        <v>0</v>
      </c>
      <c r="N16">
        <f ca="1">COUNTIFS(Assignments[POKOJ], $A$8, Assignments[DATUM PŘÍJEZDU], "&lt;=" &amp; N13, Assignments[DATUM ODJEZDU], "&gt;=" &amp; N13)</f>
        <v>0</v>
      </c>
      <c r="O16">
        <f ca="1">COUNTIFS(Assignments[POKOJ], $A$8, Assignments[DATUM PŘÍJEZDU], "&lt;=" &amp; O13, Assignments[DATUM ODJEZDU], "&gt;=" &amp; O13)</f>
        <v>0</v>
      </c>
      <c r="P16">
        <f ca="1">COUNTIFS(Assignments[POKOJ], $A$8, Assignments[DATUM PŘÍJEZDU], "&lt;=" &amp; P13, Assignments[DATUM ODJEZDU], "&gt;=" &amp; P13)</f>
        <v>0</v>
      </c>
      <c r="Q16">
        <f ca="1">COUNTIFS(Assignments[POKOJ], $A$8, Assignments[DATUM PŘÍJEZDU], "&lt;=" &amp; Q13, Assignments[DATUM ODJEZDU], "&gt;=" &amp; Q13)</f>
        <v>0</v>
      </c>
      <c r="R16">
        <f ca="1">COUNTIFS(Assignments[POKOJ], $A$8, Assignments[DATUM PŘÍJEZDU], "&lt;=" &amp; R13, Assignments[DATUM ODJEZDU], "&gt;=" &amp; R13)</f>
        <v>0</v>
      </c>
      <c r="S16" s="3" t="s">
        <v>21</v>
      </c>
      <c r="T16" s="11" t="str">
        <f t="array" aca="1" ref="T16" ca="1">IFERROR(INDEX(Assignments[JMÉNO A PŘÍJMENÍ], MATCH(1, (Assignments[POKOJ]=$A$8)*(Assignments[DATUM PŘÍJEZDU]&lt;L13)*(Assignments[DATUM ODJEZDU]&gt;=L13), 0)), "")</f>
        <v/>
      </c>
      <c r="U16" s="11" t="str">
        <f t="array" aca="1" ref="U16" ca="1">IFERROR(INDEX(Assignments[JMÉNO A PŘÍJMENÍ], MATCH(1, (Assignments[POKOJ]=$A$8)*(Assignments[DATUM PŘÍJEZDU]&lt;=L13)*(Assignments[DATUM ODJEZDU]&gt;L13), 0)), "")</f>
        <v/>
      </c>
      <c r="V16" s="11" t="str">
        <f t="array" aca="1" ref="V16" ca="1">IFERROR(INDEX(Assignments[JMÉNO A PŘÍJMENÍ], MATCH(1, (Assignments[POKOJ]=$A$8)*(Assignments[DATUM PŘÍJEZDU]&lt;M13)*(Assignments[DATUM ODJEZDU]&gt;=M13), 0)), "")</f>
        <v/>
      </c>
      <c r="W16" s="11" t="str">
        <f t="array" aca="1" ref="W16" ca="1">IFERROR(INDEX(Assignments[JMÉNO A PŘÍJMENÍ], MATCH(1, (Assignments[POKOJ]=$A$8)*(Assignments[DATUM PŘÍJEZDU]&lt;=M13)*(Assignments[DATUM ODJEZDU]&gt;M13), 0)), "")</f>
        <v/>
      </c>
      <c r="X16" s="11" t="str">
        <f t="array" aca="1" ref="X16" ca="1">IFERROR(INDEX(Assignments[JMÉNO A PŘÍJMENÍ], MATCH(1, (Assignments[POKOJ]=$A$8)*(Assignments[DATUM PŘÍJEZDU]&lt;N13)*(Assignments[DATUM ODJEZDU]&gt;=N13), 0)), "")</f>
        <v/>
      </c>
      <c r="Y16" s="11" t="str">
        <f t="array" aca="1" ref="Y16" ca="1">IFERROR(INDEX(Assignments[JMÉNO A PŘÍJMENÍ], MATCH(1, (Assignments[POKOJ]=$A$8)*(Assignments[DATUM PŘÍJEZDU]&lt;=N13)*(Assignments[DATUM ODJEZDU]&gt;N13), 0)), "")</f>
        <v/>
      </c>
      <c r="Z16" s="11" t="str">
        <f t="array" aca="1" ref="Z16" ca="1">IFERROR(INDEX(Assignments[JMÉNO A PŘÍJMENÍ], MATCH(1, (Assignments[POKOJ]=$A$8)*(Assignments[DATUM PŘÍJEZDU]&lt;O13)*(Assignments[DATUM ODJEZDU]&gt;=O13), 0)), "")</f>
        <v/>
      </c>
      <c r="AA16" s="11" t="str">
        <f t="array" aca="1" ref="AA16" ca="1">IFERROR(INDEX(Assignments[JMÉNO A PŘÍJMENÍ], MATCH(1, (Assignments[POKOJ]=$A$8)*(Assignments[DATUM PŘÍJEZDU]&lt;=O13)*(Assignments[DATUM ODJEZDU]&gt;O13), 0)), "")</f>
        <v/>
      </c>
      <c r="AB16" s="11" t="str">
        <f t="array" aca="1" ref="AB16" ca="1">IFERROR(INDEX(Assignments[JMÉNO A PŘÍJMENÍ], MATCH(1, (Assignments[POKOJ]=$A$8)*(Assignments[DATUM PŘÍJEZDU]&lt;P13)*(Assignments[DATUM ODJEZDU]&gt;=P13), 0)), "")</f>
        <v/>
      </c>
      <c r="AC16" s="11" t="str">
        <f t="array" aca="1" ref="AC16" ca="1">IFERROR(INDEX(Assignments[JMÉNO A PŘÍJMENÍ], MATCH(1, (Assignments[POKOJ]=$A$8)*(Assignments[DATUM PŘÍJEZDU]&lt;=P13)*(Assignments[DATUM ODJEZDU]&gt;P13), 0)), "")</f>
        <v/>
      </c>
      <c r="AD16" s="11" t="str">
        <f t="array" aca="1" ref="AD16" ca="1">IFERROR(INDEX(Assignments[JMÉNO A PŘÍJMENÍ], MATCH(1, (Assignments[POKOJ]=$A$8)*(Assignments[DATUM PŘÍJEZDU]&lt;Q13)*(Assignments[DATUM ODJEZDU]&gt;=Q13), 0)), "")</f>
        <v/>
      </c>
      <c r="AE16" s="11" t="str">
        <f t="array" aca="1" ref="AE16" ca="1">IFERROR(INDEX(Assignments[JMÉNO A PŘÍJMENÍ], MATCH(1, (Assignments[POKOJ]=$A$8)*(Assignments[DATUM PŘÍJEZDU]&lt;=Q13)*(Assignments[DATUM ODJEZDU]&gt;Q13), 0)), "")</f>
        <v/>
      </c>
      <c r="AF16" s="11" t="str">
        <f t="array" aca="1" ref="AF16" ca="1">IFERROR(INDEX(Assignments[JMÉNO A PŘÍJMENÍ], MATCH(1, (Assignments[POKOJ]=$A$8)*(Assignments[DATUM PŘÍJEZDU]&lt;R13)*(Assignments[DATUM ODJEZDU]&gt;=R13), 0)), "")</f>
        <v/>
      </c>
      <c r="AG16" s="11" t="str">
        <f t="array" aca="1" ref="AG16" ca="1">IFERROR(INDEX(Assignments[JMÉNO A PŘÍJMENÍ], MATCH(1, (Assignments[POKOJ]=$A$8)*(Assignments[DATUM PŘÍJEZDU]&lt;=R13)*(Assignments[DATUM ODJEZDU]&gt;R13), 0)), "")</f>
        <v/>
      </c>
    </row>
    <row r="17" spans="1:33" ht="28.8" thickTop="1" thickBot="1" x14ac:dyDescent="0.3">
      <c r="A17" s="3"/>
      <c r="B17" s="13">
        <f ca="1">IF(LEN(H13)&gt;0,IF(H13=DAY(DATE(MoYear,MoMonthNum+1,0)),"",H13+1),"")</f>
        <v>22</v>
      </c>
      <c r="C17" s="13">
        <f t="shared" ref="C17:H17" ca="1" si="20">IF(LEN(B17)&gt;0,IF(B17=DAY(DATE(MoYear,MoMonthNum+1,0)),"",B17+1),"")</f>
        <v>23</v>
      </c>
      <c r="D17" s="13">
        <f t="shared" ca="1" si="20"/>
        <v>24</v>
      </c>
      <c r="E17" s="13">
        <f t="shared" ca="1" si="20"/>
        <v>25</v>
      </c>
      <c r="F17" s="13">
        <f t="shared" ca="1" si="20"/>
        <v>26</v>
      </c>
      <c r="G17" s="13">
        <f t="shared" ca="1" si="20"/>
        <v>27</v>
      </c>
      <c r="H17" s="13">
        <f t="shared" ca="1" si="20"/>
        <v>28</v>
      </c>
      <c r="L17" s="6">
        <f t="shared" ref="L17:R17" ca="1" si="21">DATE(MoYear,MoMonthNum,B17)</f>
        <v>45922</v>
      </c>
      <c r="M17" s="6">
        <f t="shared" ca="1" si="21"/>
        <v>45923</v>
      </c>
      <c r="N17" s="6">
        <f t="shared" ca="1" si="21"/>
        <v>45924</v>
      </c>
      <c r="O17" s="6">
        <f t="shared" ca="1" si="21"/>
        <v>45925</v>
      </c>
      <c r="P17" s="6">
        <f t="shared" ca="1" si="21"/>
        <v>45926</v>
      </c>
      <c r="Q17" s="6">
        <f t="shared" ca="1" si="21"/>
        <v>45927</v>
      </c>
      <c r="R17" s="6">
        <f t="shared" ca="1" si="21"/>
        <v>45928</v>
      </c>
      <c r="S17" s="3"/>
      <c r="T17" s="26">
        <f ca="1">B17</f>
        <v>22</v>
      </c>
      <c r="U17" s="26"/>
      <c r="V17" s="26">
        <f ca="1">C17</f>
        <v>23</v>
      </c>
      <c r="W17" s="26"/>
      <c r="X17" s="26">
        <f ca="1">D17</f>
        <v>24</v>
      </c>
      <c r="Y17" s="26"/>
      <c r="Z17" s="26">
        <f ca="1">E17</f>
        <v>25</v>
      </c>
      <c r="AA17" s="26"/>
      <c r="AB17" s="26">
        <f ca="1">F17</f>
        <v>26</v>
      </c>
      <c r="AC17" s="26"/>
      <c r="AD17" s="26">
        <f ca="1">G17</f>
        <v>27</v>
      </c>
      <c r="AE17" s="26"/>
      <c r="AF17" s="26">
        <f ca="1">H17</f>
        <v>28</v>
      </c>
      <c r="AG17" s="26"/>
    </row>
    <row r="18" spans="1:33" ht="20.100000000000001" customHeight="1" thickTop="1" thickBot="1" x14ac:dyDescent="0.3">
      <c r="A18" s="3" t="s">
        <v>19</v>
      </c>
      <c r="B18" s="14" t="str">
        <f t="shared" ca="1" si="3"/>
        <v/>
      </c>
      <c r="C18" s="14" t="str">
        <f t="shared" ref="C18:C20" ca="1" si="22">IF(M18&gt;0,"OBSAZENO","")</f>
        <v/>
      </c>
      <c r="D18" s="14" t="str">
        <f t="shared" ref="D18:D20" ca="1" si="23">IF(N18&gt;0,"OBSAZENO","")</f>
        <v/>
      </c>
      <c r="E18" s="14" t="str">
        <f t="shared" ref="E18:E20" ca="1" si="24">IF(O18&gt;0,"OBSAZENO","")</f>
        <v/>
      </c>
      <c r="F18" s="14" t="str">
        <f t="shared" ref="F18:F20" ca="1" si="25">IF(P18&gt;0,"OBSAZENO","")</f>
        <v/>
      </c>
      <c r="G18" s="14" t="str">
        <f t="shared" ref="G18:G20" ca="1" si="26">IF(Q18&gt;0,"OBSAZENO","")</f>
        <v/>
      </c>
      <c r="H18" s="14" t="str">
        <f t="shared" ref="H18:H20" ca="1" si="27">IF(R18&gt;0,"OBSAZENO","")</f>
        <v/>
      </c>
      <c r="L18">
        <f ca="1">COUNTIFS(Assignments[POKOJ], $A$6, Assignments[DATUM PŘÍJEZDU], "&lt;=" &amp; L17, Assignments[DATUM ODJEZDU], "&gt;=" &amp; L17)</f>
        <v>0</v>
      </c>
      <c r="M18">
        <f ca="1">COUNTIFS(Assignments[POKOJ], $A$6, Assignments[DATUM PŘÍJEZDU], "&lt;=" &amp; M17, Assignments[DATUM ODJEZDU], "&gt;=" &amp; M17)</f>
        <v>0</v>
      </c>
      <c r="N18">
        <f ca="1">COUNTIFS(Assignments[POKOJ], $A$6, Assignments[DATUM PŘÍJEZDU], "&lt;=" &amp; N17, Assignments[DATUM ODJEZDU], "&gt;=" &amp; N17)</f>
        <v>0</v>
      </c>
      <c r="O18">
        <f ca="1">COUNTIFS(Assignments[POKOJ], $A$6, Assignments[DATUM PŘÍJEZDU], "&lt;=" &amp; O17, Assignments[DATUM ODJEZDU], "&gt;=" &amp; O17)</f>
        <v>0</v>
      </c>
      <c r="P18">
        <f ca="1">COUNTIFS(Assignments[POKOJ], $A$6, Assignments[DATUM PŘÍJEZDU], "&lt;=" &amp; P17, Assignments[DATUM ODJEZDU], "&gt;=" &amp; P17)</f>
        <v>0</v>
      </c>
      <c r="Q18">
        <f ca="1">COUNTIFS(Assignments[POKOJ], $A$6, Assignments[DATUM PŘÍJEZDU], "&lt;=" &amp; Q17, Assignments[DATUM ODJEZDU], "&gt;=" &amp; Q17)</f>
        <v>0</v>
      </c>
      <c r="R18">
        <f ca="1">COUNTIFS(Assignments[POKOJ], $A$6, Assignments[DATUM PŘÍJEZDU], "&lt;=" &amp; R17, Assignments[DATUM ODJEZDU], "&gt;=" &amp; R17)</f>
        <v>0</v>
      </c>
      <c r="S18" s="3" t="s">
        <v>19</v>
      </c>
      <c r="T18" s="11" t="str">
        <f t="array" aca="1" ref="T18" ca="1">IFERROR(INDEX(Assignments[JMÉNO A PŘÍJMENÍ], MATCH(1, (Assignments[POKOJ]=$A$6)*(Assignments[DATUM PŘÍJEZDU]&lt;L17)*(Assignments[DATUM ODJEZDU]&gt;=L17), 0)), "")</f>
        <v/>
      </c>
      <c r="U18" s="11" t="str">
        <f t="array" aca="1" ref="U18" ca="1">IFERROR(INDEX(Assignments[JMÉNO A PŘÍJMENÍ], MATCH(1, (Assignments[POKOJ]=$A$6)*(Assignments[DATUM PŘÍJEZDU]&lt;=L17)*(Assignments[DATUM ODJEZDU]&gt;L17), 0)), "")</f>
        <v/>
      </c>
      <c r="V18" s="11" t="str">
        <f t="array" aca="1" ref="V18" ca="1">IFERROR(INDEX(Assignments[JMÉNO A PŘÍJMENÍ], MATCH(1, (Assignments[POKOJ]=$A$6)*(Assignments[DATUM PŘÍJEZDU]&lt;M17)*(Assignments[DATUM ODJEZDU]&gt;=M17), 0)), "")</f>
        <v/>
      </c>
      <c r="W18" s="11" t="str">
        <f t="array" aca="1" ref="W18" ca="1">IFERROR(INDEX(Assignments[JMÉNO A PŘÍJMENÍ], MATCH(1, (Assignments[POKOJ]=$A$6)*(Assignments[DATUM PŘÍJEZDU]&lt;=M17)*(Assignments[DATUM ODJEZDU]&gt;M17), 0)), "")</f>
        <v/>
      </c>
      <c r="X18" s="11" t="str">
        <f t="array" aca="1" ref="X18" ca="1">IFERROR(INDEX(Assignments[JMÉNO A PŘÍJMENÍ], MATCH(1, (Assignments[POKOJ]=$A$6)*(Assignments[DATUM PŘÍJEZDU]&lt;N17)*(Assignments[DATUM ODJEZDU]&gt;=N17), 0)), "")</f>
        <v/>
      </c>
      <c r="Y18" s="11" t="str">
        <f t="array" aca="1" ref="Y18" ca="1">IFERROR(INDEX(Assignments[JMÉNO A PŘÍJMENÍ], MATCH(1, (Assignments[POKOJ]=$A$6)*(Assignments[DATUM PŘÍJEZDU]&lt;=N17)*(Assignments[DATUM ODJEZDU]&gt;N17), 0)), "")</f>
        <v/>
      </c>
      <c r="Z18" s="11" t="str">
        <f t="array" aca="1" ref="Z18" ca="1">IFERROR(INDEX(Assignments[JMÉNO A PŘÍJMENÍ], MATCH(1, (Assignments[POKOJ]=$A$6)*(Assignments[DATUM PŘÍJEZDU]&lt;O17)*(Assignments[DATUM ODJEZDU]&gt;=O17), 0)), "")</f>
        <v/>
      </c>
      <c r="AA18" s="11" t="str">
        <f t="array" aca="1" ref="AA18" ca="1">IFERROR(INDEX(Assignments[JMÉNO A PŘÍJMENÍ], MATCH(1, (Assignments[POKOJ]=$A$6)*(Assignments[DATUM PŘÍJEZDU]&lt;=O17)*(Assignments[DATUM ODJEZDU]&gt;O17), 0)), "")</f>
        <v/>
      </c>
      <c r="AB18" s="11" t="str">
        <f t="array" aca="1" ref="AB18" ca="1">IFERROR(INDEX(Assignments[JMÉNO A PŘÍJMENÍ], MATCH(1, (Assignments[POKOJ]=$A$6)*(Assignments[DATUM PŘÍJEZDU]&lt;P17)*(Assignments[DATUM ODJEZDU]&gt;=P17), 0)), "")</f>
        <v/>
      </c>
      <c r="AC18" s="11" t="str">
        <f t="array" aca="1" ref="AC18" ca="1">IFERROR(INDEX(Assignments[JMÉNO A PŘÍJMENÍ], MATCH(1, (Assignments[POKOJ]=$A$6)*(Assignments[DATUM PŘÍJEZDU]&lt;=P17)*(Assignments[DATUM ODJEZDU]&gt;P17), 0)), "")</f>
        <v/>
      </c>
      <c r="AD18" s="11" t="str">
        <f t="array" aca="1" ref="AD18" ca="1">IFERROR(INDEX(Assignments[JMÉNO A PŘÍJMENÍ], MATCH(1, (Assignments[POKOJ]=$A$6)*(Assignments[DATUM PŘÍJEZDU]&lt;Q17)*(Assignments[DATUM ODJEZDU]&gt;=Q17), 0)), "")</f>
        <v/>
      </c>
      <c r="AE18" s="11" t="str">
        <f t="array" aca="1" ref="AE18" ca="1">IFERROR(INDEX(Assignments[JMÉNO A PŘÍJMENÍ], MATCH(1, (Assignments[POKOJ]=$A$6)*(Assignments[DATUM PŘÍJEZDU]&lt;=Q17)*(Assignments[DATUM ODJEZDU]&gt;Q17), 0)), "")</f>
        <v/>
      </c>
      <c r="AF18" s="11" t="str">
        <f t="array" aca="1" ref="AF18" ca="1">IFERROR(INDEX(Assignments[JMÉNO A PŘÍJMENÍ], MATCH(1, (Assignments[POKOJ]=$A$6)*(Assignments[DATUM PŘÍJEZDU]&lt;R17)*(Assignments[DATUM ODJEZDU]&gt;=R17), 0)), "")</f>
        <v/>
      </c>
      <c r="AG18" s="11" t="str">
        <f t="array" aca="1" ref="AG18" ca="1">IFERROR(INDEX(Assignments[JMÉNO A PŘÍJMENÍ], MATCH(1, (Assignments[POKOJ]=$A$6)*(Assignments[DATUM PŘÍJEZDU]&lt;=R17)*(Assignments[DATUM ODJEZDU]&gt;R17), 0)), "")</f>
        <v/>
      </c>
    </row>
    <row r="19" spans="1:33" ht="20.100000000000001" customHeight="1" thickTop="1" thickBot="1" x14ac:dyDescent="0.3">
      <c r="A19" s="3" t="s">
        <v>20</v>
      </c>
      <c r="B19" s="14" t="str">
        <f t="shared" ca="1" si="3"/>
        <v/>
      </c>
      <c r="C19" s="14" t="str">
        <f t="shared" ca="1" si="22"/>
        <v/>
      </c>
      <c r="D19" s="14" t="str">
        <f t="shared" ca="1" si="23"/>
        <v/>
      </c>
      <c r="E19" s="14" t="str">
        <f t="shared" ca="1" si="24"/>
        <v/>
      </c>
      <c r="F19" s="14" t="str">
        <f t="shared" ca="1" si="25"/>
        <v/>
      </c>
      <c r="G19" s="14" t="str">
        <f t="shared" ca="1" si="26"/>
        <v/>
      </c>
      <c r="H19" s="14" t="str">
        <f t="shared" ca="1" si="27"/>
        <v/>
      </c>
      <c r="L19">
        <f ca="1">COUNTIFS(Assignments[POKOJ], $A$7, Assignments[DATUM PŘÍJEZDU], "&lt;=" &amp; L17, Assignments[DATUM ODJEZDU], "&gt;=" &amp; L17)</f>
        <v>0</v>
      </c>
      <c r="M19">
        <f ca="1">COUNTIFS(Assignments[POKOJ], $A$7, Assignments[DATUM PŘÍJEZDU], "&lt;=" &amp; M17, Assignments[DATUM ODJEZDU], "&gt;=" &amp; M17)</f>
        <v>0</v>
      </c>
      <c r="N19">
        <f ca="1">COUNTIFS(Assignments[POKOJ], $A$7, Assignments[DATUM PŘÍJEZDU], "&lt;=" &amp; N17, Assignments[DATUM ODJEZDU], "&gt;=" &amp; N17)</f>
        <v>0</v>
      </c>
      <c r="O19">
        <f ca="1">COUNTIFS(Assignments[POKOJ], $A$7, Assignments[DATUM PŘÍJEZDU], "&lt;=" &amp; O17, Assignments[DATUM ODJEZDU], "&gt;=" &amp; O17)</f>
        <v>0</v>
      </c>
      <c r="P19">
        <f ca="1">COUNTIFS(Assignments[POKOJ], $A$7, Assignments[DATUM PŘÍJEZDU], "&lt;=" &amp; P17, Assignments[DATUM ODJEZDU], "&gt;=" &amp; P17)</f>
        <v>0</v>
      </c>
      <c r="Q19">
        <f ca="1">COUNTIFS(Assignments[POKOJ], $A$7, Assignments[DATUM PŘÍJEZDU], "&lt;=" &amp; Q17, Assignments[DATUM ODJEZDU], "&gt;=" &amp; Q17)</f>
        <v>0</v>
      </c>
      <c r="R19">
        <f ca="1">COUNTIFS(Assignments[POKOJ], $A$7, Assignments[DATUM PŘÍJEZDU], "&lt;=" &amp; R17, Assignments[DATUM ODJEZDU], "&gt;=" &amp; R17)</f>
        <v>0</v>
      </c>
      <c r="S19" s="3" t="s">
        <v>20</v>
      </c>
      <c r="T19" s="11" t="str">
        <f t="array" aca="1" ref="T19" ca="1">IFERROR(INDEX(Assignments[JMÉNO A PŘÍJMENÍ], MATCH(1, (Assignments[POKOJ]=$A$7)*(Assignments[DATUM PŘÍJEZDU]&lt;L17)*(Assignments[DATUM ODJEZDU]&gt;=L17), 0)), "")</f>
        <v/>
      </c>
      <c r="U19" s="11" t="str">
        <f t="array" aca="1" ref="U19" ca="1">IFERROR(INDEX(Assignments[JMÉNO A PŘÍJMENÍ], MATCH(1, (Assignments[POKOJ]=$A$7)*(Assignments[DATUM PŘÍJEZDU]&lt;=L17)*(Assignments[DATUM ODJEZDU]&gt;L17), 0)), "")</f>
        <v/>
      </c>
      <c r="V19" s="11" t="str">
        <f t="array" aca="1" ref="V19" ca="1">IFERROR(INDEX(Assignments[JMÉNO A PŘÍJMENÍ], MATCH(1, (Assignments[POKOJ]=$A$7)*(Assignments[DATUM PŘÍJEZDU]&lt;M17)*(Assignments[DATUM ODJEZDU]&gt;=M17), 0)), "")</f>
        <v/>
      </c>
      <c r="W19" s="11" t="str">
        <f t="array" aca="1" ref="W19" ca="1">IFERROR(INDEX(Assignments[JMÉNO A PŘÍJMENÍ], MATCH(1, (Assignments[POKOJ]=$A$7)*(Assignments[DATUM PŘÍJEZDU]&lt;=M17)*(Assignments[DATUM ODJEZDU]&gt;M17), 0)), "")</f>
        <v/>
      </c>
      <c r="X19" s="11" t="str">
        <f t="array" aca="1" ref="X19" ca="1">IFERROR(INDEX(Assignments[JMÉNO A PŘÍJMENÍ], MATCH(1, (Assignments[POKOJ]=$A$7)*(Assignments[DATUM PŘÍJEZDU]&lt;N17)*(Assignments[DATUM ODJEZDU]&gt;=N17), 0)), "")</f>
        <v/>
      </c>
      <c r="Y19" s="11" t="str">
        <f t="array" aca="1" ref="Y19" ca="1">IFERROR(INDEX(Assignments[JMÉNO A PŘÍJMENÍ], MATCH(1, (Assignments[POKOJ]=$A$7)*(Assignments[DATUM PŘÍJEZDU]&lt;=N17)*(Assignments[DATUM ODJEZDU]&gt;N17), 0)), "")</f>
        <v/>
      </c>
      <c r="Z19" s="11" t="str">
        <f t="array" aca="1" ref="Z19" ca="1">IFERROR(INDEX(Assignments[JMÉNO A PŘÍJMENÍ], MATCH(1, (Assignments[POKOJ]=$A$7)*(Assignments[DATUM PŘÍJEZDU]&lt;O17)*(Assignments[DATUM ODJEZDU]&gt;=O17), 0)), "")</f>
        <v/>
      </c>
      <c r="AA19" s="11" t="str">
        <f t="array" aca="1" ref="AA19" ca="1">IFERROR(INDEX(Assignments[JMÉNO A PŘÍJMENÍ], MATCH(1, (Assignments[POKOJ]=$A$7)*(Assignments[DATUM PŘÍJEZDU]&lt;=O17)*(Assignments[DATUM ODJEZDU]&gt;O17), 0)), "")</f>
        <v/>
      </c>
      <c r="AB19" s="11" t="str">
        <f t="array" aca="1" ref="AB19" ca="1">IFERROR(INDEX(Assignments[JMÉNO A PŘÍJMENÍ], MATCH(1, (Assignments[POKOJ]=$A$7)*(Assignments[DATUM PŘÍJEZDU]&lt;P17)*(Assignments[DATUM ODJEZDU]&gt;=P17), 0)), "")</f>
        <v/>
      </c>
      <c r="AC19" s="11" t="str">
        <f t="array" aca="1" ref="AC19" ca="1">IFERROR(INDEX(Assignments[JMÉNO A PŘÍJMENÍ], MATCH(1, (Assignments[POKOJ]=$A$7)*(Assignments[DATUM PŘÍJEZDU]&lt;=P17)*(Assignments[DATUM ODJEZDU]&gt;P17), 0)), "")</f>
        <v/>
      </c>
      <c r="AD19" s="11" t="str">
        <f t="array" aca="1" ref="AD19" ca="1">IFERROR(INDEX(Assignments[JMÉNO A PŘÍJMENÍ], MATCH(1, (Assignments[POKOJ]=$A$7)*(Assignments[DATUM PŘÍJEZDU]&lt;Q17)*(Assignments[DATUM ODJEZDU]&gt;=Q17), 0)), "")</f>
        <v/>
      </c>
      <c r="AE19" s="11" t="str">
        <f t="array" aca="1" ref="AE19" ca="1">IFERROR(INDEX(Assignments[JMÉNO A PŘÍJMENÍ], MATCH(1, (Assignments[POKOJ]=$A$7)*(Assignments[DATUM PŘÍJEZDU]&lt;=Q17)*(Assignments[DATUM ODJEZDU]&gt;Q17), 0)), "")</f>
        <v/>
      </c>
      <c r="AF19" s="11" t="str">
        <f t="array" aca="1" ref="AF19" ca="1">IFERROR(INDEX(Assignments[JMÉNO A PŘÍJMENÍ], MATCH(1, (Assignments[POKOJ]=$A$7)*(Assignments[DATUM PŘÍJEZDU]&lt;R17)*(Assignments[DATUM ODJEZDU]&gt;=R17), 0)), "")</f>
        <v/>
      </c>
      <c r="AG19" s="11" t="str">
        <f t="array" aca="1" ref="AG19" ca="1">IFERROR(INDEX(Assignments[JMÉNO A PŘÍJMENÍ], MATCH(1, (Assignments[POKOJ]=$A$7)*(Assignments[DATUM PŘÍJEZDU]&lt;=R17)*(Assignments[DATUM ODJEZDU]&gt;R17), 0)), "")</f>
        <v/>
      </c>
    </row>
    <row r="20" spans="1:33" ht="20.100000000000001" customHeight="1" thickTop="1" thickBot="1" x14ac:dyDescent="0.3">
      <c r="A20" s="3" t="s">
        <v>21</v>
      </c>
      <c r="B20" s="14" t="str">
        <f t="shared" ca="1" si="3"/>
        <v/>
      </c>
      <c r="C20" s="14" t="str">
        <f t="shared" ca="1" si="22"/>
        <v/>
      </c>
      <c r="D20" s="14" t="str">
        <f t="shared" ca="1" si="23"/>
        <v/>
      </c>
      <c r="E20" s="14" t="str">
        <f t="shared" ca="1" si="24"/>
        <v/>
      </c>
      <c r="F20" s="14" t="str">
        <f t="shared" ca="1" si="25"/>
        <v/>
      </c>
      <c r="G20" s="14" t="str">
        <f t="shared" ca="1" si="26"/>
        <v/>
      </c>
      <c r="H20" s="14" t="str">
        <f t="shared" ca="1" si="27"/>
        <v/>
      </c>
      <c r="L20">
        <f ca="1">COUNTIFS(Assignments[POKOJ], $A$8, Assignments[DATUM PŘÍJEZDU], "&lt;=" &amp; L17, Assignments[DATUM ODJEZDU], "&gt;=" &amp; L17)</f>
        <v>0</v>
      </c>
      <c r="M20">
        <f ca="1">COUNTIFS(Assignments[POKOJ], $A$8, Assignments[DATUM PŘÍJEZDU], "&lt;=" &amp; M17, Assignments[DATUM ODJEZDU], "&gt;=" &amp; M17)</f>
        <v>0</v>
      </c>
      <c r="N20">
        <f ca="1">COUNTIFS(Assignments[POKOJ], $A$8, Assignments[DATUM PŘÍJEZDU], "&lt;=" &amp; N17, Assignments[DATUM ODJEZDU], "&gt;=" &amp; N17)</f>
        <v>0</v>
      </c>
      <c r="O20">
        <f ca="1">COUNTIFS(Assignments[POKOJ], $A$8, Assignments[DATUM PŘÍJEZDU], "&lt;=" &amp; O17, Assignments[DATUM ODJEZDU], "&gt;=" &amp; O17)</f>
        <v>0</v>
      </c>
      <c r="P20">
        <f ca="1">COUNTIFS(Assignments[POKOJ], $A$8, Assignments[DATUM PŘÍJEZDU], "&lt;=" &amp; P17, Assignments[DATUM ODJEZDU], "&gt;=" &amp; P17)</f>
        <v>0</v>
      </c>
      <c r="Q20">
        <f ca="1">COUNTIFS(Assignments[POKOJ], $A$8, Assignments[DATUM PŘÍJEZDU], "&lt;=" &amp; Q17, Assignments[DATUM ODJEZDU], "&gt;=" &amp; Q17)</f>
        <v>0</v>
      </c>
      <c r="R20">
        <f ca="1">COUNTIFS(Assignments[POKOJ], $A$8, Assignments[DATUM PŘÍJEZDU], "&lt;=" &amp; R17, Assignments[DATUM ODJEZDU], "&gt;=" &amp; R17)</f>
        <v>0</v>
      </c>
      <c r="S20" s="3" t="s">
        <v>21</v>
      </c>
      <c r="T20" s="11" t="str">
        <f t="array" aca="1" ref="T20" ca="1">IFERROR(INDEX(Assignments[JMÉNO A PŘÍJMENÍ], MATCH(1, (Assignments[POKOJ]=$A$8)*(Assignments[DATUM PŘÍJEZDU]&lt;L17)*(Assignments[DATUM ODJEZDU]&gt;=L17), 0)), "")</f>
        <v/>
      </c>
      <c r="U20" s="11" t="str">
        <f t="array" aca="1" ref="U20" ca="1">IFERROR(INDEX(Assignments[JMÉNO A PŘÍJMENÍ], MATCH(1, (Assignments[POKOJ]=$A$8)*(Assignments[DATUM PŘÍJEZDU]&lt;=L17)*(Assignments[DATUM ODJEZDU]&gt;L17), 0)), "")</f>
        <v/>
      </c>
      <c r="V20" s="11" t="str">
        <f t="array" aca="1" ref="V20" ca="1">IFERROR(INDEX(Assignments[JMÉNO A PŘÍJMENÍ], MATCH(1, (Assignments[POKOJ]=$A$8)*(Assignments[DATUM PŘÍJEZDU]&lt;M17)*(Assignments[DATUM ODJEZDU]&gt;=M17), 0)), "")</f>
        <v/>
      </c>
      <c r="W20" s="11" t="str">
        <f t="array" aca="1" ref="W20" ca="1">IFERROR(INDEX(Assignments[JMÉNO A PŘÍJMENÍ], MATCH(1, (Assignments[POKOJ]=$A$8)*(Assignments[DATUM PŘÍJEZDU]&lt;=M17)*(Assignments[DATUM ODJEZDU]&gt;M17), 0)), "")</f>
        <v/>
      </c>
      <c r="X20" s="11" t="str">
        <f t="array" aca="1" ref="X20" ca="1">IFERROR(INDEX(Assignments[JMÉNO A PŘÍJMENÍ], MATCH(1, (Assignments[POKOJ]=$A$8)*(Assignments[DATUM PŘÍJEZDU]&lt;N17)*(Assignments[DATUM ODJEZDU]&gt;=N17), 0)), "")</f>
        <v/>
      </c>
      <c r="Y20" s="11" t="str">
        <f t="array" aca="1" ref="Y20" ca="1">IFERROR(INDEX(Assignments[JMÉNO A PŘÍJMENÍ], MATCH(1, (Assignments[POKOJ]=$A$8)*(Assignments[DATUM PŘÍJEZDU]&lt;=N17)*(Assignments[DATUM ODJEZDU]&gt;N17), 0)), "")</f>
        <v/>
      </c>
      <c r="Z20" s="11" t="str">
        <f t="array" aca="1" ref="Z20" ca="1">IFERROR(INDEX(Assignments[JMÉNO A PŘÍJMENÍ], MATCH(1, (Assignments[POKOJ]=$A$8)*(Assignments[DATUM PŘÍJEZDU]&lt;O17)*(Assignments[DATUM ODJEZDU]&gt;=O17), 0)), "")</f>
        <v/>
      </c>
      <c r="AA20" s="11" t="str">
        <f t="array" aca="1" ref="AA20" ca="1">IFERROR(INDEX(Assignments[JMÉNO A PŘÍJMENÍ], MATCH(1, (Assignments[POKOJ]=$A$8)*(Assignments[DATUM PŘÍJEZDU]&lt;=O17)*(Assignments[DATUM ODJEZDU]&gt;O17), 0)), "")</f>
        <v/>
      </c>
      <c r="AB20" s="11" t="str">
        <f t="array" aca="1" ref="AB20" ca="1">IFERROR(INDEX(Assignments[JMÉNO A PŘÍJMENÍ], MATCH(1, (Assignments[POKOJ]=$A$8)*(Assignments[DATUM PŘÍJEZDU]&lt;P17)*(Assignments[DATUM ODJEZDU]&gt;=P17), 0)), "")</f>
        <v/>
      </c>
      <c r="AC20" s="11" t="str">
        <f t="array" aca="1" ref="AC20" ca="1">IFERROR(INDEX(Assignments[JMÉNO A PŘÍJMENÍ], MATCH(1, (Assignments[POKOJ]=$A$8)*(Assignments[DATUM PŘÍJEZDU]&lt;=P17)*(Assignments[DATUM ODJEZDU]&gt;P17), 0)), "")</f>
        <v/>
      </c>
      <c r="AD20" s="11" t="str">
        <f t="array" aca="1" ref="AD20" ca="1">IFERROR(INDEX(Assignments[JMÉNO A PŘÍJMENÍ], MATCH(1, (Assignments[POKOJ]=$A$8)*(Assignments[DATUM PŘÍJEZDU]&lt;Q17)*(Assignments[DATUM ODJEZDU]&gt;=Q17), 0)), "")</f>
        <v/>
      </c>
      <c r="AE20" s="11" t="str">
        <f t="array" aca="1" ref="AE20" ca="1">IFERROR(INDEX(Assignments[JMÉNO A PŘÍJMENÍ], MATCH(1, (Assignments[POKOJ]=$A$8)*(Assignments[DATUM PŘÍJEZDU]&lt;=Q17)*(Assignments[DATUM ODJEZDU]&gt;Q17), 0)), "")</f>
        <v/>
      </c>
      <c r="AF20" s="11" t="str">
        <f t="array" aca="1" ref="AF20" ca="1">IFERROR(INDEX(Assignments[JMÉNO A PŘÍJMENÍ], MATCH(1, (Assignments[POKOJ]=$A$8)*(Assignments[DATUM PŘÍJEZDU]&lt;R17)*(Assignments[DATUM ODJEZDU]&gt;=R17), 0)), "")</f>
        <v/>
      </c>
      <c r="AG20" s="11" t="str">
        <f t="array" aca="1" ref="AG20" ca="1">IFERROR(INDEX(Assignments[JMÉNO A PŘÍJMENÍ], MATCH(1, (Assignments[POKOJ]=$A$8)*(Assignments[DATUM PŘÍJEZDU]&lt;=R17)*(Assignments[DATUM ODJEZDU]&gt;R17), 0)), "")</f>
        <v/>
      </c>
    </row>
    <row r="21" spans="1:33" ht="28.8" thickTop="1" thickBot="1" x14ac:dyDescent="0.3">
      <c r="A21" s="3"/>
      <c r="B21" s="13">
        <f ca="1">IF(LEN(H17)&gt;0,IF(H17=DAY(DATE(MoYear,MoMonthNum+1,0)),"",H17+1),"")</f>
        <v>29</v>
      </c>
      <c r="C21" s="13">
        <f t="shared" ref="C21:H21" ca="1" si="28">IF(LEN(B21)&gt;0,IF(B21=DAY(DATE(MoYear,MoMonthNum+1,0)),"",B21+1),"")</f>
        <v>30</v>
      </c>
      <c r="D21" s="13" t="str">
        <f t="shared" ca="1" si="28"/>
        <v/>
      </c>
      <c r="E21" s="13" t="str">
        <f t="shared" ca="1" si="28"/>
        <v/>
      </c>
      <c r="F21" s="13" t="str">
        <f t="shared" ca="1" si="28"/>
        <v/>
      </c>
      <c r="G21" s="13" t="str">
        <f t="shared" ca="1" si="28"/>
        <v/>
      </c>
      <c r="H21" s="13" t="str">
        <f t="shared" ca="1" si="28"/>
        <v/>
      </c>
      <c r="L21" s="6">
        <f t="shared" ref="L21:R21" ca="1" si="29">DATE(MoYear,MoMonthNum,B21)</f>
        <v>45929</v>
      </c>
      <c r="M21" s="6">
        <f t="shared" ca="1" si="29"/>
        <v>45930</v>
      </c>
      <c r="N21" s="6" t="e">
        <f t="shared" ca="1" si="29"/>
        <v>#VALUE!</v>
      </c>
      <c r="O21" s="6" t="e">
        <f t="shared" ca="1" si="29"/>
        <v>#VALUE!</v>
      </c>
      <c r="P21" s="6" t="e">
        <f t="shared" ca="1" si="29"/>
        <v>#VALUE!</v>
      </c>
      <c r="Q21" s="6" t="e">
        <f t="shared" ca="1" si="29"/>
        <v>#VALUE!</v>
      </c>
      <c r="R21" s="6" t="e">
        <f t="shared" ca="1" si="29"/>
        <v>#VALUE!</v>
      </c>
      <c r="S21" s="3"/>
      <c r="T21" s="26">
        <f ca="1">B21</f>
        <v>29</v>
      </c>
      <c r="U21" s="26"/>
      <c r="V21" s="26">
        <f ca="1">C21</f>
        <v>30</v>
      </c>
      <c r="W21" s="26"/>
      <c r="X21" s="26" t="str">
        <f ca="1">D21</f>
        <v/>
      </c>
      <c r="Y21" s="26"/>
      <c r="Z21" s="26" t="str">
        <f ca="1">E21</f>
        <v/>
      </c>
      <c r="AA21" s="26"/>
      <c r="AB21" s="26" t="str">
        <f ca="1">F21</f>
        <v/>
      </c>
      <c r="AC21" s="26"/>
      <c r="AD21" s="26" t="str">
        <f ca="1">G21</f>
        <v/>
      </c>
      <c r="AE21" s="26"/>
      <c r="AF21" s="26" t="str">
        <f ca="1">H21</f>
        <v/>
      </c>
      <c r="AG21" s="26"/>
    </row>
    <row r="22" spans="1:33" ht="20.100000000000001" customHeight="1" thickTop="1" thickBot="1" x14ac:dyDescent="0.3">
      <c r="A22" s="3" t="s">
        <v>19</v>
      </c>
      <c r="B22" s="14" t="str">
        <f t="shared" ca="1" si="3"/>
        <v/>
      </c>
      <c r="C22" s="14" t="str">
        <f t="shared" ref="C22:C24" ca="1" si="30">IF(M22&gt;0,"OBSAZENO","")</f>
        <v/>
      </c>
      <c r="D22" s="14" t="str">
        <f t="shared" ref="D22:D24" ca="1" si="31">IF(N22&gt;0,"OBSAZENO","")</f>
        <v/>
      </c>
      <c r="E22" s="14" t="str">
        <f t="shared" ref="E22:E24" ca="1" si="32">IF(O22&gt;0,"OBSAZENO","")</f>
        <v/>
      </c>
      <c r="F22" s="14" t="str">
        <f t="shared" ref="F22:F24" ca="1" si="33">IF(P22&gt;0,"OBSAZENO","")</f>
        <v/>
      </c>
      <c r="G22" s="14" t="str">
        <f t="shared" ref="G22:G24" ca="1" si="34">IF(Q22&gt;0,"OBSAZENO","")</f>
        <v/>
      </c>
      <c r="H22" s="14" t="str">
        <f t="shared" ref="H22:H24" ca="1" si="35">IF(R22&gt;0,"OBSAZENO","")</f>
        <v/>
      </c>
      <c r="L22">
        <f ca="1">COUNTIFS(Assignments[POKOJ], $A$6, Assignments[DATUM PŘÍJEZDU], "&lt;=" &amp; L21, Assignments[DATUM ODJEZDU], "&gt;=" &amp; L21)</f>
        <v>0</v>
      </c>
      <c r="M22">
        <f ca="1">COUNTIFS(Assignments[POKOJ], $A$6, Assignments[DATUM PŘÍJEZDU], "&lt;=" &amp; M21, Assignments[DATUM ODJEZDU], "&gt;=" &amp; M21)</f>
        <v>0</v>
      </c>
      <c r="N22">
        <f ca="1">COUNTIFS(Assignments[POKOJ], $A$6, Assignments[DATUM PŘÍJEZDU], "&lt;=" &amp; N21, Assignments[DATUM ODJEZDU], "&gt;=" &amp; N21)</f>
        <v>0</v>
      </c>
      <c r="O22">
        <f ca="1">COUNTIFS(Assignments[POKOJ], $A$6, Assignments[DATUM PŘÍJEZDU], "&lt;=" &amp; O21, Assignments[DATUM ODJEZDU], "&gt;=" &amp; O21)</f>
        <v>0</v>
      </c>
      <c r="P22">
        <f ca="1">COUNTIFS(Assignments[POKOJ], $A$6, Assignments[DATUM PŘÍJEZDU], "&lt;=" &amp; P21, Assignments[DATUM ODJEZDU], "&gt;=" &amp; P21)</f>
        <v>0</v>
      </c>
      <c r="Q22">
        <f ca="1">COUNTIFS(Assignments[POKOJ], $A$6, Assignments[DATUM PŘÍJEZDU], "&lt;=" &amp; Q21, Assignments[DATUM ODJEZDU], "&gt;=" &amp; Q21)</f>
        <v>0</v>
      </c>
      <c r="R22">
        <f ca="1">COUNTIFS(Assignments[POKOJ], $A$6, Assignments[DATUM PŘÍJEZDU], "&lt;=" &amp; R21, Assignments[DATUM ODJEZDU], "&gt;=" &amp; R21)</f>
        <v>0</v>
      </c>
      <c r="S22" s="3" t="s">
        <v>19</v>
      </c>
      <c r="T22" s="11" t="str">
        <f t="array" aca="1" ref="T22" ca="1">IFERROR(INDEX(Assignments[JMÉNO A PŘÍJMENÍ], MATCH(1, (Assignments[POKOJ]=$A$6)*(Assignments[DATUM PŘÍJEZDU]&lt;L21)*(Assignments[DATUM ODJEZDU]&gt;=L21), 0)), "")</f>
        <v/>
      </c>
      <c r="U22" s="11" t="str">
        <f t="array" aca="1" ref="U22" ca="1">IFERROR(INDEX(Assignments[JMÉNO A PŘÍJMENÍ], MATCH(1, (Assignments[POKOJ]=$A$6)*(Assignments[DATUM PŘÍJEZDU]&lt;=L21)*(Assignments[DATUM ODJEZDU]&gt;L21), 0)), "")</f>
        <v/>
      </c>
      <c r="V22" s="11" t="str">
        <f t="array" aca="1" ref="V22" ca="1">IFERROR(INDEX(Assignments[JMÉNO A PŘÍJMENÍ], MATCH(1, (Assignments[POKOJ]=$A$6)*(Assignments[DATUM PŘÍJEZDU]&lt;M21)*(Assignments[DATUM ODJEZDU]&gt;=M21), 0)), "")</f>
        <v/>
      </c>
      <c r="W22" s="11" t="str">
        <f t="array" aca="1" ref="W22" ca="1">IFERROR(INDEX(Assignments[JMÉNO A PŘÍJMENÍ], MATCH(1, (Assignments[POKOJ]=$A$6)*(Assignments[DATUM PŘÍJEZDU]&lt;=M21)*(Assignments[DATUM ODJEZDU]&gt;M21), 0)), "")</f>
        <v/>
      </c>
      <c r="X22" s="11" t="str">
        <f t="array" aca="1" ref="X22" ca="1">IFERROR(INDEX(Assignments[JMÉNO A PŘÍJMENÍ], MATCH(1, (Assignments[POKOJ]=$A$6)*(Assignments[DATUM PŘÍJEZDU]&lt;N21)*(Assignments[DATUM ODJEZDU]&gt;=N21), 0)), "")</f>
        <v/>
      </c>
      <c r="Y22" s="11" t="str">
        <f t="array" aca="1" ref="Y22" ca="1">IFERROR(INDEX(Assignments[JMÉNO A PŘÍJMENÍ], MATCH(1, (Assignments[POKOJ]=$A$6)*(Assignments[DATUM PŘÍJEZDU]&lt;=N21)*(Assignments[DATUM ODJEZDU]&gt;N21), 0)), "")</f>
        <v/>
      </c>
      <c r="Z22" s="11" t="str">
        <f t="array" aca="1" ref="Z22" ca="1">IFERROR(INDEX(Assignments[JMÉNO A PŘÍJMENÍ], MATCH(1, (Assignments[POKOJ]=$A$6)*(Assignments[DATUM PŘÍJEZDU]&lt;O21)*(Assignments[DATUM ODJEZDU]&gt;=O21), 0)), "")</f>
        <v/>
      </c>
      <c r="AA22" s="11" t="str">
        <f t="array" aca="1" ref="AA22" ca="1">IFERROR(INDEX(Assignments[JMÉNO A PŘÍJMENÍ], MATCH(1, (Assignments[POKOJ]=$A$6)*(Assignments[DATUM PŘÍJEZDU]&lt;=O21)*(Assignments[DATUM ODJEZDU]&gt;O21), 0)), "")</f>
        <v/>
      </c>
      <c r="AB22" s="11" t="str">
        <f t="array" aca="1" ref="AB22" ca="1">IFERROR(INDEX(Assignments[JMÉNO A PŘÍJMENÍ], MATCH(1, (Assignments[POKOJ]=$A$6)*(Assignments[DATUM PŘÍJEZDU]&lt;P21)*(Assignments[DATUM ODJEZDU]&gt;=P21), 0)), "")</f>
        <v/>
      </c>
      <c r="AC22" s="11" t="str">
        <f t="array" aca="1" ref="AC22" ca="1">IFERROR(INDEX(Assignments[JMÉNO A PŘÍJMENÍ], MATCH(1, (Assignments[POKOJ]=$A$6)*(Assignments[DATUM PŘÍJEZDU]&lt;=P21)*(Assignments[DATUM ODJEZDU]&gt;P21), 0)), "")</f>
        <v/>
      </c>
      <c r="AD22" s="11" t="str">
        <f t="array" aca="1" ref="AD22" ca="1">IFERROR(INDEX(Assignments[JMÉNO A PŘÍJMENÍ], MATCH(1, (Assignments[POKOJ]=$A$6)*(Assignments[DATUM PŘÍJEZDU]&lt;Q21)*(Assignments[DATUM ODJEZDU]&gt;=Q21), 0)), "")</f>
        <v/>
      </c>
      <c r="AE22" s="11" t="str">
        <f t="array" aca="1" ref="AE22" ca="1">IFERROR(INDEX(Assignments[JMÉNO A PŘÍJMENÍ], MATCH(1, (Assignments[POKOJ]=$A$6)*(Assignments[DATUM PŘÍJEZDU]&lt;=Q21)*(Assignments[DATUM ODJEZDU]&gt;Q21), 0)), "")</f>
        <v/>
      </c>
      <c r="AF22" s="11" t="str">
        <f t="array" aca="1" ref="AF22" ca="1">IFERROR(INDEX(Assignments[JMÉNO A PŘÍJMENÍ], MATCH(1, (Assignments[POKOJ]=$A$6)*(Assignments[DATUM PŘÍJEZDU]&lt;R21)*(Assignments[DATUM ODJEZDU]&gt;=R21), 0)), "")</f>
        <v/>
      </c>
      <c r="AG22" s="11" t="str">
        <f t="array" aca="1" ref="AG22" ca="1">IFERROR(INDEX(Assignments[JMÉNO A PŘÍJMENÍ], MATCH(1, (Assignments[POKOJ]=$A$6)*(Assignments[DATUM PŘÍJEZDU]&lt;=R21)*(Assignments[DATUM ODJEZDU]&gt;R21), 0)), "")</f>
        <v/>
      </c>
    </row>
    <row r="23" spans="1:33" ht="20.100000000000001" customHeight="1" thickTop="1" thickBot="1" x14ac:dyDescent="0.3">
      <c r="A23" s="3" t="s">
        <v>20</v>
      </c>
      <c r="B23" s="14" t="str">
        <f t="shared" ca="1" si="3"/>
        <v/>
      </c>
      <c r="C23" s="14" t="str">
        <f t="shared" ca="1" si="30"/>
        <v/>
      </c>
      <c r="D23" s="14" t="str">
        <f t="shared" ca="1" si="31"/>
        <v/>
      </c>
      <c r="E23" s="14" t="str">
        <f t="shared" ca="1" si="32"/>
        <v/>
      </c>
      <c r="F23" s="14" t="str">
        <f t="shared" ca="1" si="33"/>
        <v/>
      </c>
      <c r="G23" s="14" t="str">
        <f t="shared" ca="1" si="34"/>
        <v/>
      </c>
      <c r="H23" s="14" t="str">
        <f t="shared" ca="1" si="35"/>
        <v/>
      </c>
      <c r="L23">
        <f ca="1">COUNTIFS(Assignments[POKOJ], $A$7, Assignments[DATUM PŘÍJEZDU], "&lt;=" &amp; L21, Assignments[DATUM ODJEZDU], "&gt;=" &amp; L21)</f>
        <v>0</v>
      </c>
      <c r="M23">
        <f ca="1">COUNTIFS(Assignments[POKOJ], $A$7, Assignments[DATUM PŘÍJEZDU], "&lt;=" &amp; M21, Assignments[DATUM ODJEZDU], "&gt;=" &amp; M21)</f>
        <v>0</v>
      </c>
      <c r="N23">
        <f ca="1">COUNTIFS(Assignments[POKOJ], $A$7, Assignments[DATUM PŘÍJEZDU], "&lt;=" &amp; N21, Assignments[DATUM ODJEZDU], "&gt;=" &amp; N21)</f>
        <v>0</v>
      </c>
      <c r="O23">
        <f ca="1">COUNTIFS(Assignments[POKOJ], $A$7, Assignments[DATUM PŘÍJEZDU], "&lt;=" &amp; O21, Assignments[DATUM ODJEZDU], "&gt;=" &amp; O21)</f>
        <v>0</v>
      </c>
      <c r="P23">
        <f ca="1">COUNTIFS(Assignments[POKOJ], $A$7, Assignments[DATUM PŘÍJEZDU], "&lt;=" &amp; P21, Assignments[DATUM ODJEZDU], "&gt;=" &amp; P21)</f>
        <v>0</v>
      </c>
      <c r="Q23">
        <f ca="1">COUNTIFS(Assignments[POKOJ], $A$7, Assignments[DATUM PŘÍJEZDU], "&lt;=" &amp; Q21, Assignments[DATUM ODJEZDU], "&gt;=" &amp; Q21)</f>
        <v>0</v>
      </c>
      <c r="R23">
        <f ca="1">COUNTIFS(Assignments[POKOJ], $A$7, Assignments[DATUM PŘÍJEZDU], "&lt;=" &amp; R21, Assignments[DATUM ODJEZDU], "&gt;=" &amp; R21)</f>
        <v>0</v>
      </c>
      <c r="S23" s="3" t="s">
        <v>20</v>
      </c>
      <c r="T23" s="11" t="str">
        <f t="array" aca="1" ref="T23" ca="1">IFERROR(INDEX(Assignments[JMÉNO A PŘÍJMENÍ], MATCH(1, (Assignments[POKOJ]=$A$7)*(Assignments[DATUM PŘÍJEZDU]&lt;L21)*(Assignments[DATUM ODJEZDU]&gt;=L21), 0)), "")</f>
        <v/>
      </c>
      <c r="U23" s="11" t="str">
        <f t="array" aca="1" ref="U23" ca="1">IFERROR(INDEX(Assignments[JMÉNO A PŘÍJMENÍ], MATCH(1, (Assignments[POKOJ]=$A$7)*(Assignments[DATUM PŘÍJEZDU]&lt;=L21)*(Assignments[DATUM ODJEZDU]&gt;L21), 0)), "")</f>
        <v/>
      </c>
      <c r="V23" s="11" t="str">
        <f t="array" aca="1" ref="V23" ca="1">IFERROR(INDEX(Assignments[JMÉNO A PŘÍJMENÍ], MATCH(1, (Assignments[POKOJ]=$A$7)*(Assignments[DATUM PŘÍJEZDU]&lt;M21)*(Assignments[DATUM ODJEZDU]&gt;=M21), 0)), "")</f>
        <v/>
      </c>
      <c r="W23" s="11" t="str">
        <f t="array" aca="1" ref="W23" ca="1">IFERROR(INDEX(Assignments[JMÉNO A PŘÍJMENÍ], MATCH(1, (Assignments[POKOJ]=$A$7)*(Assignments[DATUM PŘÍJEZDU]&lt;=M21)*(Assignments[DATUM ODJEZDU]&gt;M21), 0)), "")</f>
        <v/>
      </c>
      <c r="X23" s="11" t="str">
        <f t="array" aca="1" ref="X23" ca="1">IFERROR(INDEX(Assignments[JMÉNO A PŘÍJMENÍ], MATCH(1, (Assignments[POKOJ]=$A$7)*(Assignments[DATUM PŘÍJEZDU]&lt;N21)*(Assignments[DATUM ODJEZDU]&gt;=N21), 0)), "")</f>
        <v/>
      </c>
      <c r="Y23" s="11" t="str">
        <f t="array" aca="1" ref="Y23" ca="1">IFERROR(INDEX(Assignments[JMÉNO A PŘÍJMENÍ], MATCH(1, (Assignments[POKOJ]=$A$7)*(Assignments[DATUM PŘÍJEZDU]&lt;=N21)*(Assignments[DATUM ODJEZDU]&gt;N21), 0)), "")</f>
        <v/>
      </c>
      <c r="Z23" s="11" t="str">
        <f t="array" aca="1" ref="Z23" ca="1">IFERROR(INDEX(Assignments[JMÉNO A PŘÍJMENÍ], MATCH(1, (Assignments[POKOJ]=$A$7)*(Assignments[DATUM PŘÍJEZDU]&lt;O21)*(Assignments[DATUM ODJEZDU]&gt;=O21), 0)), "")</f>
        <v/>
      </c>
      <c r="AA23" s="11" t="str">
        <f t="array" aca="1" ref="AA23" ca="1">IFERROR(INDEX(Assignments[JMÉNO A PŘÍJMENÍ], MATCH(1, (Assignments[POKOJ]=$A$7)*(Assignments[DATUM PŘÍJEZDU]&lt;=O21)*(Assignments[DATUM ODJEZDU]&gt;O21), 0)), "")</f>
        <v/>
      </c>
      <c r="AB23" s="11" t="str">
        <f t="array" aca="1" ref="AB23" ca="1">IFERROR(INDEX(Assignments[JMÉNO A PŘÍJMENÍ], MATCH(1, (Assignments[POKOJ]=$A$7)*(Assignments[DATUM PŘÍJEZDU]&lt;P21)*(Assignments[DATUM ODJEZDU]&gt;=P21), 0)), "")</f>
        <v/>
      </c>
      <c r="AC23" s="11" t="str">
        <f t="array" aca="1" ref="AC23" ca="1">IFERROR(INDEX(Assignments[JMÉNO A PŘÍJMENÍ], MATCH(1, (Assignments[POKOJ]=$A$7)*(Assignments[DATUM PŘÍJEZDU]&lt;=P21)*(Assignments[DATUM ODJEZDU]&gt;P21), 0)), "")</f>
        <v/>
      </c>
      <c r="AD23" s="11" t="str">
        <f t="array" aca="1" ref="AD23" ca="1">IFERROR(INDEX(Assignments[JMÉNO A PŘÍJMENÍ], MATCH(1, (Assignments[POKOJ]=$A$7)*(Assignments[DATUM PŘÍJEZDU]&lt;Q21)*(Assignments[DATUM ODJEZDU]&gt;=Q21), 0)), "")</f>
        <v/>
      </c>
      <c r="AE23" s="11" t="str">
        <f t="array" aca="1" ref="AE23" ca="1">IFERROR(INDEX(Assignments[JMÉNO A PŘÍJMENÍ], MATCH(1, (Assignments[POKOJ]=$A$7)*(Assignments[DATUM PŘÍJEZDU]&lt;=Q21)*(Assignments[DATUM ODJEZDU]&gt;Q21), 0)), "")</f>
        <v/>
      </c>
      <c r="AF23" s="11" t="str">
        <f t="array" aca="1" ref="AF23" ca="1">IFERROR(INDEX(Assignments[JMÉNO A PŘÍJMENÍ], MATCH(1, (Assignments[POKOJ]=$A$7)*(Assignments[DATUM PŘÍJEZDU]&lt;R21)*(Assignments[DATUM ODJEZDU]&gt;=R21), 0)), "")</f>
        <v/>
      </c>
      <c r="AG23" s="11" t="str">
        <f t="array" aca="1" ref="AG23" ca="1">IFERROR(INDEX(Assignments[JMÉNO A PŘÍJMENÍ], MATCH(1, (Assignments[POKOJ]=$A$7)*(Assignments[DATUM PŘÍJEZDU]&lt;=R21)*(Assignments[DATUM ODJEZDU]&gt;R21), 0)), "")</f>
        <v/>
      </c>
    </row>
    <row r="24" spans="1:33" ht="20.100000000000001" customHeight="1" thickTop="1" thickBot="1" x14ac:dyDescent="0.3">
      <c r="A24" s="3" t="s">
        <v>21</v>
      </c>
      <c r="B24" s="14" t="str">
        <f t="shared" ca="1" si="3"/>
        <v/>
      </c>
      <c r="C24" s="14" t="str">
        <f t="shared" ca="1" si="30"/>
        <v/>
      </c>
      <c r="D24" s="14" t="str">
        <f t="shared" ca="1" si="31"/>
        <v/>
      </c>
      <c r="E24" s="14" t="str">
        <f t="shared" ca="1" si="32"/>
        <v/>
      </c>
      <c r="F24" s="14" t="str">
        <f t="shared" ca="1" si="33"/>
        <v/>
      </c>
      <c r="G24" s="14" t="str">
        <f t="shared" ca="1" si="34"/>
        <v/>
      </c>
      <c r="H24" s="14" t="str">
        <f t="shared" ca="1" si="35"/>
        <v/>
      </c>
      <c r="L24">
        <f ca="1">COUNTIFS(Assignments[POKOJ], $A$8, Assignments[DATUM PŘÍJEZDU], "&lt;=" &amp; L21, Assignments[DATUM ODJEZDU], "&gt;=" &amp; L21)</f>
        <v>0</v>
      </c>
      <c r="M24">
        <f ca="1">COUNTIFS(Assignments[POKOJ], $A$8, Assignments[DATUM PŘÍJEZDU], "&lt;=" &amp; M21, Assignments[DATUM ODJEZDU], "&gt;=" &amp; M21)</f>
        <v>0</v>
      </c>
      <c r="N24">
        <f ca="1">COUNTIFS(Assignments[POKOJ], $A$8, Assignments[DATUM PŘÍJEZDU], "&lt;=" &amp; N21, Assignments[DATUM ODJEZDU], "&gt;=" &amp; N21)</f>
        <v>0</v>
      </c>
      <c r="O24">
        <f ca="1">COUNTIFS(Assignments[POKOJ], $A$8, Assignments[DATUM PŘÍJEZDU], "&lt;=" &amp; O21, Assignments[DATUM ODJEZDU], "&gt;=" &amp; O21)</f>
        <v>0</v>
      </c>
      <c r="P24">
        <f ca="1">COUNTIFS(Assignments[POKOJ], $A$8, Assignments[DATUM PŘÍJEZDU], "&lt;=" &amp; P21, Assignments[DATUM ODJEZDU], "&gt;=" &amp; P21)</f>
        <v>0</v>
      </c>
      <c r="Q24">
        <f ca="1">COUNTIFS(Assignments[POKOJ], $A$8, Assignments[DATUM PŘÍJEZDU], "&lt;=" &amp; Q21, Assignments[DATUM ODJEZDU], "&gt;=" &amp; Q21)</f>
        <v>0</v>
      </c>
      <c r="R24">
        <f ca="1">COUNTIFS(Assignments[POKOJ], $A$8, Assignments[DATUM PŘÍJEZDU], "&lt;=" &amp; R21, Assignments[DATUM ODJEZDU], "&gt;=" &amp; R21)</f>
        <v>0</v>
      </c>
      <c r="S24" s="3" t="s">
        <v>21</v>
      </c>
      <c r="T24" s="11" t="str">
        <f t="array" aca="1" ref="T24" ca="1">IFERROR(INDEX(Assignments[JMÉNO A PŘÍJMENÍ], MATCH(1, (Assignments[POKOJ]=$A$8)*(Assignments[DATUM PŘÍJEZDU]&lt;L21)*(Assignments[DATUM ODJEZDU]&gt;=L21), 0)), "")</f>
        <v/>
      </c>
      <c r="U24" s="11" t="str">
        <f t="array" aca="1" ref="U24" ca="1">IFERROR(INDEX(Assignments[JMÉNO A PŘÍJMENÍ], MATCH(1, (Assignments[POKOJ]=$A$8)*(Assignments[DATUM PŘÍJEZDU]&lt;=L21)*(Assignments[DATUM ODJEZDU]&gt;L21), 0)), "")</f>
        <v/>
      </c>
      <c r="V24" s="11" t="str">
        <f t="array" aca="1" ref="V24" ca="1">IFERROR(INDEX(Assignments[JMÉNO A PŘÍJMENÍ], MATCH(1, (Assignments[POKOJ]=$A$8)*(Assignments[DATUM PŘÍJEZDU]&lt;M21)*(Assignments[DATUM ODJEZDU]&gt;=M21), 0)), "")</f>
        <v/>
      </c>
      <c r="W24" s="11" t="str">
        <f t="array" aca="1" ref="W24" ca="1">IFERROR(INDEX(Assignments[JMÉNO A PŘÍJMENÍ], MATCH(1, (Assignments[POKOJ]=$A$8)*(Assignments[DATUM PŘÍJEZDU]&lt;=M21)*(Assignments[DATUM ODJEZDU]&gt;M21), 0)), "")</f>
        <v/>
      </c>
      <c r="X24" s="11" t="str">
        <f t="array" aca="1" ref="X24" ca="1">IFERROR(INDEX(Assignments[JMÉNO A PŘÍJMENÍ], MATCH(1, (Assignments[POKOJ]=$A$8)*(Assignments[DATUM PŘÍJEZDU]&lt;N21)*(Assignments[DATUM ODJEZDU]&gt;=N21), 0)), "")</f>
        <v/>
      </c>
      <c r="Y24" s="11" t="str">
        <f t="array" aca="1" ref="Y24" ca="1">IFERROR(INDEX(Assignments[JMÉNO A PŘÍJMENÍ], MATCH(1, (Assignments[POKOJ]=$A$8)*(Assignments[DATUM PŘÍJEZDU]&lt;=N21)*(Assignments[DATUM ODJEZDU]&gt;N21), 0)), "")</f>
        <v/>
      </c>
      <c r="Z24" s="11" t="str">
        <f t="array" aca="1" ref="Z24" ca="1">IFERROR(INDEX(Assignments[JMÉNO A PŘÍJMENÍ], MATCH(1, (Assignments[POKOJ]=$A$8)*(Assignments[DATUM PŘÍJEZDU]&lt;O21)*(Assignments[DATUM ODJEZDU]&gt;=O21), 0)), "")</f>
        <v/>
      </c>
      <c r="AA24" s="11" t="str">
        <f t="array" aca="1" ref="AA24" ca="1">IFERROR(INDEX(Assignments[JMÉNO A PŘÍJMENÍ], MATCH(1, (Assignments[POKOJ]=$A$8)*(Assignments[DATUM PŘÍJEZDU]&lt;=O21)*(Assignments[DATUM ODJEZDU]&gt;O21), 0)), "")</f>
        <v/>
      </c>
      <c r="AB24" s="11" t="str">
        <f t="array" aca="1" ref="AB24" ca="1">IFERROR(INDEX(Assignments[JMÉNO A PŘÍJMENÍ], MATCH(1, (Assignments[POKOJ]=$A$8)*(Assignments[DATUM PŘÍJEZDU]&lt;P21)*(Assignments[DATUM ODJEZDU]&gt;=P21), 0)), "")</f>
        <v/>
      </c>
      <c r="AC24" s="11" t="str">
        <f t="array" aca="1" ref="AC24" ca="1">IFERROR(INDEX(Assignments[JMÉNO A PŘÍJMENÍ], MATCH(1, (Assignments[POKOJ]=$A$8)*(Assignments[DATUM PŘÍJEZDU]&lt;=P21)*(Assignments[DATUM ODJEZDU]&gt;P21), 0)), "")</f>
        <v/>
      </c>
      <c r="AD24" s="11" t="str">
        <f t="array" aca="1" ref="AD24" ca="1">IFERROR(INDEX(Assignments[JMÉNO A PŘÍJMENÍ], MATCH(1, (Assignments[POKOJ]=$A$8)*(Assignments[DATUM PŘÍJEZDU]&lt;Q21)*(Assignments[DATUM ODJEZDU]&gt;=Q21), 0)), "")</f>
        <v/>
      </c>
      <c r="AE24" s="11" t="str">
        <f t="array" aca="1" ref="AE24" ca="1">IFERROR(INDEX(Assignments[JMÉNO A PŘÍJMENÍ], MATCH(1, (Assignments[POKOJ]=$A$8)*(Assignments[DATUM PŘÍJEZDU]&lt;=Q21)*(Assignments[DATUM ODJEZDU]&gt;Q21), 0)), "")</f>
        <v/>
      </c>
      <c r="AF24" s="11" t="str">
        <f t="array" aca="1" ref="AF24" ca="1">IFERROR(INDEX(Assignments[JMÉNO A PŘÍJMENÍ], MATCH(1, (Assignments[POKOJ]=$A$8)*(Assignments[DATUM PŘÍJEZDU]&lt;R21)*(Assignments[DATUM ODJEZDU]&gt;=R21), 0)), "")</f>
        <v/>
      </c>
      <c r="AG24" s="11" t="str">
        <f t="array" aca="1" ref="AG24" ca="1">IFERROR(INDEX(Assignments[JMÉNO A PŘÍJMENÍ], MATCH(1, (Assignments[POKOJ]=$A$8)*(Assignments[DATUM PŘÍJEZDU]&lt;=R21)*(Assignments[DATUM ODJEZDU]&gt;R21), 0)), "")</f>
        <v/>
      </c>
    </row>
    <row r="25" spans="1:33" ht="28.8" thickTop="1" thickBot="1" x14ac:dyDescent="0.3">
      <c r="A25" s="3"/>
      <c r="B25" s="13" t="str">
        <f ca="1">IF(LEN(H21)&gt;0,IF(H21=DAY(DATE(MoYear,MoMonthNum+1,0)),"",H21+1),"")</f>
        <v/>
      </c>
      <c r="C25" s="13" t="str">
        <f t="shared" ref="C25:H25" ca="1" si="36">IF(LEN(B25)&gt;0,IF(B25=DAY(DATE(MoYear,MoMonthNum+1,0)),"",B25+1),"")</f>
        <v/>
      </c>
      <c r="D25" s="13" t="str">
        <f t="shared" ca="1" si="36"/>
        <v/>
      </c>
      <c r="E25" s="13" t="str">
        <f t="shared" ca="1" si="36"/>
        <v/>
      </c>
      <c r="F25" s="13" t="str">
        <f t="shared" ca="1" si="36"/>
        <v/>
      </c>
      <c r="G25" s="13" t="str">
        <f t="shared" ca="1" si="36"/>
        <v/>
      </c>
      <c r="H25" s="13" t="str">
        <f t="shared" ca="1" si="36"/>
        <v/>
      </c>
      <c r="L25" s="6" t="e">
        <f t="shared" ref="L25:R25" ca="1" si="37">DATE(MoYear,MoMonthNum,B25)</f>
        <v>#VALUE!</v>
      </c>
      <c r="M25" s="6" t="e">
        <f t="shared" ca="1" si="37"/>
        <v>#VALUE!</v>
      </c>
      <c r="N25" s="6" t="e">
        <f t="shared" ca="1" si="37"/>
        <v>#VALUE!</v>
      </c>
      <c r="O25" s="6" t="e">
        <f t="shared" ca="1" si="37"/>
        <v>#VALUE!</v>
      </c>
      <c r="P25" s="6" t="e">
        <f t="shared" ca="1" si="37"/>
        <v>#VALUE!</v>
      </c>
      <c r="Q25" s="6" t="e">
        <f t="shared" ca="1" si="37"/>
        <v>#VALUE!</v>
      </c>
      <c r="R25" s="6" t="e">
        <f t="shared" ca="1" si="37"/>
        <v>#VALUE!</v>
      </c>
      <c r="S25" s="3"/>
      <c r="T25" s="26" t="str">
        <f ca="1">B25</f>
        <v/>
      </c>
      <c r="U25" s="26"/>
      <c r="V25" s="26" t="str">
        <f ca="1">C25</f>
        <v/>
      </c>
      <c r="W25" s="26"/>
      <c r="X25" s="26" t="str">
        <f ca="1">D25</f>
        <v/>
      </c>
      <c r="Y25" s="26"/>
      <c r="Z25" s="26" t="str">
        <f ca="1">E25</f>
        <v/>
      </c>
      <c r="AA25" s="26"/>
      <c r="AB25" s="26" t="str">
        <f ca="1">F25</f>
        <v/>
      </c>
      <c r="AC25" s="26"/>
      <c r="AD25" s="26" t="str">
        <f ca="1">G25</f>
        <v/>
      </c>
      <c r="AE25" s="26"/>
      <c r="AF25" s="26" t="str">
        <f ca="1">H25</f>
        <v/>
      </c>
      <c r="AG25" s="26"/>
    </row>
    <row r="26" spans="1:33" ht="20.100000000000001" customHeight="1" thickTop="1" thickBot="1" x14ac:dyDescent="0.3">
      <c r="A26" s="3" t="s">
        <v>19</v>
      </c>
      <c r="B26" s="14" t="str">
        <f t="shared" ca="1" si="3"/>
        <v/>
      </c>
      <c r="C26" s="14" t="str">
        <f t="shared" ref="C26:C28" ca="1" si="38">IF(M26&gt;0,"OBSAZENO","")</f>
        <v/>
      </c>
      <c r="D26" s="14" t="str">
        <f t="shared" ref="D26:D28" ca="1" si="39">IF(N26&gt;0,"OBSAZENO","")</f>
        <v/>
      </c>
      <c r="E26" s="14" t="str">
        <f t="shared" ref="E26:E28" ca="1" si="40">IF(O26&gt;0,"OBSAZENO","")</f>
        <v/>
      </c>
      <c r="F26" s="14" t="str">
        <f t="shared" ref="F26:F28" ca="1" si="41">IF(P26&gt;0,"OBSAZENO","")</f>
        <v/>
      </c>
      <c r="G26" s="14" t="str">
        <f t="shared" ref="G26:G28" ca="1" si="42">IF(Q26&gt;0,"OBSAZENO","")</f>
        <v/>
      </c>
      <c r="H26" s="14" t="str">
        <f t="shared" ref="H26:H28" ca="1" si="43">IF(R26&gt;0,"OBSAZENO","")</f>
        <v/>
      </c>
      <c r="L26">
        <f ca="1">COUNTIFS(Assignments[POKOJ], $A$6, Assignments[DATUM PŘÍJEZDU], "&lt;=" &amp; L25, Assignments[DATUM ODJEZDU], "&gt;=" &amp; L25)</f>
        <v>0</v>
      </c>
      <c r="M26">
        <f ca="1">COUNTIFS(Assignments[POKOJ], $A$6, Assignments[DATUM PŘÍJEZDU], "&lt;=" &amp; M25, Assignments[DATUM ODJEZDU], "&gt;=" &amp; M25)</f>
        <v>0</v>
      </c>
      <c r="N26">
        <f ca="1">COUNTIFS(Assignments[POKOJ], $A$6, Assignments[DATUM PŘÍJEZDU], "&lt;=" &amp; N25, Assignments[DATUM ODJEZDU], "&gt;=" &amp; N25)</f>
        <v>0</v>
      </c>
      <c r="O26">
        <f ca="1">COUNTIFS(Assignments[POKOJ], $A$6, Assignments[DATUM PŘÍJEZDU], "&lt;=" &amp; O25, Assignments[DATUM ODJEZDU], "&gt;=" &amp; O25)</f>
        <v>0</v>
      </c>
      <c r="P26">
        <f ca="1">COUNTIFS(Assignments[POKOJ], $A$6, Assignments[DATUM PŘÍJEZDU], "&lt;=" &amp; P25, Assignments[DATUM ODJEZDU], "&gt;=" &amp; P25)</f>
        <v>0</v>
      </c>
      <c r="Q26">
        <f ca="1">COUNTIFS(Assignments[POKOJ], $A$6, Assignments[DATUM PŘÍJEZDU], "&lt;=" &amp; Q25, Assignments[DATUM ODJEZDU], "&gt;=" &amp; Q25)</f>
        <v>0</v>
      </c>
      <c r="R26">
        <f ca="1">COUNTIFS(Assignments[POKOJ], $A$6, Assignments[DATUM PŘÍJEZDU], "&lt;=" &amp; R25, Assignments[DATUM ODJEZDU], "&gt;=" &amp; R25)</f>
        <v>0</v>
      </c>
      <c r="S26" s="3" t="s">
        <v>19</v>
      </c>
      <c r="T26" s="11" t="str">
        <f t="array" aca="1" ref="T26" ca="1">IFERROR(INDEX(Assignments[JMÉNO A PŘÍJMENÍ], MATCH(1, (Assignments[POKOJ]=$A$6)*(Assignments[DATUM PŘÍJEZDU]&lt;L25)*(Assignments[DATUM ODJEZDU]&gt;=L25), 0)), "")</f>
        <v/>
      </c>
      <c r="U26" s="11" t="str">
        <f t="array" aca="1" ref="U26" ca="1">IFERROR(INDEX(Assignments[JMÉNO A PŘÍJMENÍ], MATCH(1, (Assignments[POKOJ]=$A$6)*(Assignments[DATUM PŘÍJEZDU]&lt;=L25)*(Assignments[DATUM ODJEZDU]&gt;L25), 0)), "")</f>
        <v/>
      </c>
      <c r="V26" s="11" t="str">
        <f t="array" aca="1" ref="V26" ca="1">IFERROR(INDEX(Assignments[JMÉNO A PŘÍJMENÍ], MATCH(1, (Assignments[POKOJ]=$A$6)*(Assignments[DATUM PŘÍJEZDU]&lt;M25)*(Assignments[DATUM ODJEZDU]&gt;=M25), 0)), "")</f>
        <v/>
      </c>
      <c r="W26" s="11" t="str">
        <f t="array" aca="1" ref="W26" ca="1">IFERROR(INDEX(Assignments[JMÉNO A PŘÍJMENÍ], MATCH(1, (Assignments[POKOJ]=$A$6)*(Assignments[DATUM PŘÍJEZDU]&lt;=M25)*(Assignments[DATUM ODJEZDU]&gt;M25), 0)), "")</f>
        <v/>
      </c>
      <c r="X26" s="11" t="str">
        <f t="array" aca="1" ref="X26" ca="1">IFERROR(INDEX(Assignments[JMÉNO A PŘÍJMENÍ], MATCH(1, (Assignments[POKOJ]=$A$6)*(Assignments[DATUM PŘÍJEZDU]&lt;N25)*(Assignments[DATUM ODJEZDU]&gt;=N25), 0)), "")</f>
        <v/>
      </c>
      <c r="Y26" s="11" t="str">
        <f t="array" aca="1" ref="Y26" ca="1">IFERROR(INDEX(Assignments[JMÉNO A PŘÍJMENÍ], MATCH(1, (Assignments[POKOJ]=$A$6)*(Assignments[DATUM PŘÍJEZDU]&lt;=N25)*(Assignments[DATUM ODJEZDU]&gt;N25), 0)), "")</f>
        <v/>
      </c>
      <c r="Z26" s="11" t="str">
        <f t="array" aca="1" ref="Z26" ca="1">IFERROR(INDEX(Assignments[JMÉNO A PŘÍJMENÍ], MATCH(1, (Assignments[POKOJ]=$A$6)*(Assignments[DATUM PŘÍJEZDU]&lt;O25)*(Assignments[DATUM ODJEZDU]&gt;=O25), 0)), "")</f>
        <v/>
      </c>
      <c r="AA26" s="11" t="str">
        <f t="array" aca="1" ref="AA26" ca="1">IFERROR(INDEX(Assignments[JMÉNO A PŘÍJMENÍ], MATCH(1, (Assignments[POKOJ]=$A$6)*(Assignments[DATUM PŘÍJEZDU]&lt;=O25)*(Assignments[DATUM ODJEZDU]&gt;O25), 0)), "")</f>
        <v/>
      </c>
      <c r="AB26" s="11" t="str">
        <f t="array" aca="1" ref="AB26" ca="1">IFERROR(INDEX(Assignments[JMÉNO A PŘÍJMENÍ], MATCH(1, (Assignments[POKOJ]=$A$6)*(Assignments[DATUM PŘÍJEZDU]&lt;P25)*(Assignments[DATUM ODJEZDU]&gt;=P25), 0)), "")</f>
        <v/>
      </c>
      <c r="AC26" s="11" t="str">
        <f t="array" aca="1" ref="AC26" ca="1">IFERROR(INDEX(Assignments[JMÉNO A PŘÍJMENÍ], MATCH(1, (Assignments[POKOJ]=$A$6)*(Assignments[DATUM PŘÍJEZDU]&lt;=P25)*(Assignments[DATUM ODJEZDU]&gt;P25), 0)), "")</f>
        <v/>
      </c>
      <c r="AD26" s="11" t="str">
        <f t="array" aca="1" ref="AD26" ca="1">IFERROR(INDEX(Assignments[JMÉNO A PŘÍJMENÍ], MATCH(1, (Assignments[POKOJ]=$A$6)*(Assignments[DATUM PŘÍJEZDU]&lt;Q25)*(Assignments[DATUM ODJEZDU]&gt;=Q25), 0)), "")</f>
        <v/>
      </c>
      <c r="AE26" s="11" t="str">
        <f t="array" aca="1" ref="AE26" ca="1">IFERROR(INDEX(Assignments[JMÉNO A PŘÍJMENÍ], MATCH(1, (Assignments[POKOJ]=$A$6)*(Assignments[DATUM PŘÍJEZDU]&lt;=Q25)*(Assignments[DATUM ODJEZDU]&gt;Q25), 0)), "")</f>
        <v/>
      </c>
      <c r="AF26" s="11" t="str">
        <f t="array" aca="1" ref="AF26" ca="1">IFERROR(INDEX(Assignments[JMÉNO A PŘÍJMENÍ], MATCH(1, (Assignments[POKOJ]=$A$6)*(Assignments[DATUM PŘÍJEZDU]&lt;R25)*(Assignments[DATUM ODJEZDU]&gt;=R25), 0)), "")</f>
        <v/>
      </c>
      <c r="AG26" s="11" t="str">
        <f t="array" aca="1" ref="AG26" ca="1">IFERROR(INDEX(Assignments[JMÉNO A PŘÍJMENÍ], MATCH(1, (Assignments[POKOJ]=$A$6)*(Assignments[DATUM PŘÍJEZDU]&lt;=R25)*(Assignments[DATUM ODJEZDU]&gt;R25), 0)), "")</f>
        <v/>
      </c>
    </row>
    <row r="27" spans="1:33" ht="20.100000000000001" customHeight="1" thickTop="1" thickBot="1" x14ac:dyDescent="0.3">
      <c r="A27" s="3" t="s">
        <v>20</v>
      </c>
      <c r="B27" s="14" t="str">
        <f t="shared" ca="1" si="3"/>
        <v/>
      </c>
      <c r="C27" s="14" t="str">
        <f t="shared" ca="1" si="38"/>
        <v/>
      </c>
      <c r="D27" s="14" t="str">
        <f t="shared" ca="1" si="39"/>
        <v/>
      </c>
      <c r="E27" s="14" t="str">
        <f t="shared" ca="1" si="40"/>
        <v/>
      </c>
      <c r="F27" s="14" t="str">
        <f t="shared" ca="1" si="41"/>
        <v/>
      </c>
      <c r="G27" s="14" t="str">
        <f t="shared" ca="1" si="42"/>
        <v/>
      </c>
      <c r="H27" s="14" t="str">
        <f t="shared" ca="1" si="43"/>
        <v/>
      </c>
      <c r="L27">
        <f ca="1">COUNTIFS(Assignments[POKOJ], $A$7, Assignments[DATUM PŘÍJEZDU], "&lt;=" &amp; L25, Assignments[DATUM ODJEZDU], "&gt;=" &amp; L25)</f>
        <v>0</v>
      </c>
      <c r="M27">
        <f ca="1">COUNTIFS(Assignments[POKOJ], $A$7, Assignments[DATUM PŘÍJEZDU], "&lt;=" &amp; M25, Assignments[DATUM ODJEZDU], "&gt;=" &amp; M25)</f>
        <v>0</v>
      </c>
      <c r="N27">
        <f ca="1">COUNTIFS(Assignments[POKOJ], $A$7, Assignments[DATUM PŘÍJEZDU], "&lt;=" &amp; N25, Assignments[DATUM ODJEZDU], "&gt;=" &amp; N25)</f>
        <v>0</v>
      </c>
      <c r="O27">
        <f ca="1">COUNTIFS(Assignments[POKOJ], $A$7, Assignments[DATUM PŘÍJEZDU], "&lt;=" &amp; O25, Assignments[DATUM ODJEZDU], "&gt;=" &amp; O25)</f>
        <v>0</v>
      </c>
      <c r="P27">
        <f ca="1">COUNTIFS(Assignments[POKOJ], $A$7, Assignments[DATUM PŘÍJEZDU], "&lt;=" &amp; P25, Assignments[DATUM ODJEZDU], "&gt;=" &amp; P25)</f>
        <v>0</v>
      </c>
      <c r="Q27">
        <f ca="1">COUNTIFS(Assignments[POKOJ], $A$7, Assignments[DATUM PŘÍJEZDU], "&lt;=" &amp; Q25, Assignments[DATUM ODJEZDU], "&gt;=" &amp; Q25)</f>
        <v>0</v>
      </c>
      <c r="R27">
        <f ca="1">COUNTIFS(Assignments[POKOJ], $A$7, Assignments[DATUM PŘÍJEZDU], "&lt;=" &amp; R25, Assignments[DATUM ODJEZDU], "&gt;=" &amp; R25)</f>
        <v>0</v>
      </c>
      <c r="S27" s="3" t="s">
        <v>20</v>
      </c>
      <c r="T27" s="11" t="str">
        <f t="array" aca="1" ref="T27" ca="1">IFERROR(INDEX(Assignments[JMÉNO A PŘÍJMENÍ], MATCH(1, (Assignments[POKOJ]=$A$7)*(Assignments[DATUM PŘÍJEZDU]&lt;L25)*(Assignments[DATUM ODJEZDU]&gt;=L25), 0)), "")</f>
        <v/>
      </c>
      <c r="U27" s="11" t="str">
        <f t="array" aca="1" ref="U27" ca="1">IFERROR(INDEX(Assignments[JMÉNO A PŘÍJMENÍ], MATCH(1, (Assignments[POKOJ]=$A$7)*(Assignments[DATUM PŘÍJEZDU]&lt;=L25)*(Assignments[DATUM ODJEZDU]&gt;L25), 0)), "")</f>
        <v/>
      </c>
      <c r="V27" s="11" t="str">
        <f t="array" aca="1" ref="V27" ca="1">IFERROR(INDEX(Assignments[JMÉNO A PŘÍJMENÍ], MATCH(1, (Assignments[POKOJ]=$A$7)*(Assignments[DATUM PŘÍJEZDU]&lt;M25)*(Assignments[DATUM ODJEZDU]&gt;=M25), 0)), "")</f>
        <v/>
      </c>
      <c r="W27" s="11" t="str">
        <f t="array" aca="1" ref="W27" ca="1">IFERROR(INDEX(Assignments[JMÉNO A PŘÍJMENÍ], MATCH(1, (Assignments[POKOJ]=$A$7)*(Assignments[DATUM PŘÍJEZDU]&lt;=M25)*(Assignments[DATUM ODJEZDU]&gt;M25), 0)), "")</f>
        <v/>
      </c>
      <c r="X27" s="11" t="str">
        <f t="array" aca="1" ref="X27" ca="1">IFERROR(INDEX(Assignments[JMÉNO A PŘÍJMENÍ], MATCH(1, (Assignments[POKOJ]=$A$7)*(Assignments[DATUM PŘÍJEZDU]&lt;N25)*(Assignments[DATUM ODJEZDU]&gt;=N25), 0)), "")</f>
        <v/>
      </c>
      <c r="Y27" s="11" t="str">
        <f t="array" aca="1" ref="Y27" ca="1">IFERROR(INDEX(Assignments[JMÉNO A PŘÍJMENÍ], MATCH(1, (Assignments[POKOJ]=$A$7)*(Assignments[DATUM PŘÍJEZDU]&lt;=N25)*(Assignments[DATUM ODJEZDU]&gt;N25), 0)), "")</f>
        <v/>
      </c>
      <c r="Z27" s="11" t="str">
        <f t="array" aca="1" ref="Z27" ca="1">IFERROR(INDEX(Assignments[JMÉNO A PŘÍJMENÍ], MATCH(1, (Assignments[POKOJ]=$A$7)*(Assignments[DATUM PŘÍJEZDU]&lt;O25)*(Assignments[DATUM ODJEZDU]&gt;=O25), 0)), "")</f>
        <v/>
      </c>
      <c r="AA27" s="11" t="str">
        <f t="array" aca="1" ref="AA27" ca="1">IFERROR(INDEX(Assignments[JMÉNO A PŘÍJMENÍ], MATCH(1, (Assignments[POKOJ]=$A$7)*(Assignments[DATUM PŘÍJEZDU]&lt;=O25)*(Assignments[DATUM ODJEZDU]&gt;O25), 0)), "")</f>
        <v/>
      </c>
      <c r="AB27" s="11" t="str">
        <f t="array" aca="1" ref="AB27" ca="1">IFERROR(INDEX(Assignments[JMÉNO A PŘÍJMENÍ], MATCH(1, (Assignments[POKOJ]=$A$7)*(Assignments[DATUM PŘÍJEZDU]&lt;P25)*(Assignments[DATUM ODJEZDU]&gt;=P25), 0)), "")</f>
        <v/>
      </c>
      <c r="AC27" s="11" t="str">
        <f t="array" aca="1" ref="AC27" ca="1">IFERROR(INDEX(Assignments[JMÉNO A PŘÍJMENÍ], MATCH(1, (Assignments[POKOJ]=$A$7)*(Assignments[DATUM PŘÍJEZDU]&lt;=P25)*(Assignments[DATUM ODJEZDU]&gt;P25), 0)), "")</f>
        <v/>
      </c>
      <c r="AD27" s="11" t="str">
        <f t="array" aca="1" ref="AD27" ca="1">IFERROR(INDEX(Assignments[JMÉNO A PŘÍJMENÍ], MATCH(1, (Assignments[POKOJ]=$A$7)*(Assignments[DATUM PŘÍJEZDU]&lt;Q25)*(Assignments[DATUM ODJEZDU]&gt;=Q25), 0)), "")</f>
        <v/>
      </c>
      <c r="AE27" s="11" t="str">
        <f t="array" aca="1" ref="AE27" ca="1">IFERROR(INDEX(Assignments[JMÉNO A PŘÍJMENÍ], MATCH(1, (Assignments[POKOJ]=$A$7)*(Assignments[DATUM PŘÍJEZDU]&lt;=Q25)*(Assignments[DATUM ODJEZDU]&gt;Q25), 0)), "")</f>
        <v/>
      </c>
      <c r="AF27" s="11" t="str">
        <f t="array" aca="1" ref="AF27" ca="1">IFERROR(INDEX(Assignments[JMÉNO A PŘÍJMENÍ], MATCH(1, (Assignments[POKOJ]=$A$7)*(Assignments[DATUM PŘÍJEZDU]&lt;R25)*(Assignments[DATUM ODJEZDU]&gt;=R25), 0)), "")</f>
        <v/>
      </c>
      <c r="AG27" s="11" t="str">
        <f t="array" aca="1" ref="AG27" ca="1">IFERROR(INDEX(Assignments[JMÉNO A PŘÍJMENÍ], MATCH(1, (Assignments[POKOJ]=$A$7)*(Assignments[DATUM PŘÍJEZDU]&lt;=R25)*(Assignments[DATUM ODJEZDU]&gt;R25), 0)), "")</f>
        <v/>
      </c>
    </row>
    <row r="28" spans="1:33" ht="20.100000000000001" customHeight="1" thickTop="1" thickBot="1" x14ac:dyDescent="0.3">
      <c r="A28" s="3" t="s">
        <v>21</v>
      </c>
      <c r="B28" s="14" t="str">
        <f t="shared" ca="1" si="3"/>
        <v/>
      </c>
      <c r="C28" s="14" t="str">
        <f t="shared" ca="1" si="38"/>
        <v/>
      </c>
      <c r="D28" s="14" t="str">
        <f t="shared" ca="1" si="39"/>
        <v/>
      </c>
      <c r="E28" s="14" t="str">
        <f t="shared" ca="1" si="40"/>
        <v/>
      </c>
      <c r="F28" s="14" t="str">
        <f t="shared" ca="1" si="41"/>
        <v/>
      </c>
      <c r="G28" s="14" t="str">
        <f t="shared" ca="1" si="42"/>
        <v/>
      </c>
      <c r="H28" s="14" t="str">
        <f t="shared" ca="1" si="43"/>
        <v/>
      </c>
      <c r="L28">
        <f ca="1">COUNTIFS(Assignments[POKOJ], $A$8, Assignments[DATUM PŘÍJEZDU], "&lt;=" &amp; L25, Assignments[DATUM ODJEZDU], "&gt;=" &amp; L25)</f>
        <v>0</v>
      </c>
      <c r="M28">
        <f ca="1">COUNTIFS(Assignments[POKOJ], $A$8, Assignments[DATUM PŘÍJEZDU], "&lt;=" &amp; M25, Assignments[DATUM ODJEZDU], "&gt;=" &amp; M25)</f>
        <v>0</v>
      </c>
      <c r="N28">
        <f ca="1">COUNTIFS(Assignments[POKOJ], $A$8, Assignments[DATUM PŘÍJEZDU], "&lt;=" &amp; N25, Assignments[DATUM ODJEZDU], "&gt;=" &amp; N25)</f>
        <v>0</v>
      </c>
      <c r="O28">
        <f ca="1">COUNTIFS(Assignments[POKOJ], $A$8, Assignments[DATUM PŘÍJEZDU], "&lt;=" &amp; O25, Assignments[DATUM ODJEZDU], "&gt;=" &amp; O25)</f>
        <v>0</v>
      </c>
      <c r="P28">
        <f ca="1">COUNTIFS(Assignments[POKOJ], $A$8, Assignments[DATUM PŘÍJEZDU], "&lt;=" &amp; P25, Assignments[DATUM ODJEZDU], "&gt;=" &amp; P25)</f>
        <v>0</v>
      </c>
      <c r="Q28">
        <f ca="1">COUNTIFS(Assignments[POKOJ], $A$8, Assignments[DATUM PŘÍJEZDU], "&lt;=" &amp; Q25, Assignments[DATUM ODJEZDU], "&gt;=" &amp; Q25)</f>
        <v>0</v>
      </c>
      <c r="R28">
        <f ca="1">COUNTIFS(Assignments[POKOJ], $A$8, Assignments[DATUM PŘÍJEZDU], "&lt;=" &amp; R25, Assignments[DATUM ODJEZDU], "&gt;=" &amp; R25)</f>
        <v>0</v>
      </c>
      <c r="S28" s="3" t="s">
        <v>21</v>
      </c>
      <c r="T28" s="11" t="str">
        <f t="array" aca="1" ref="T28" ca="1">IFERROR(INDEX(Assignments[JMÉNO A PŘÍJMENÍ], MATCH(1, (Assignments[POKOJ]=$A$8)*(Assignments[DATUM PŘÍJEZDU]&lt;L25)*(Assignments[DATUM ODJEZDU]&gt;=L25), 0)), "")</f>
        <v/>
      </c>
      <c r="U28" s="11" t="str">
        <f t="array" aca="1" ref="U28" ca="1">IFERROR(INDEX(Assignments[JMÉNO A PŘÍJMENÍ], MATCH(1, (Assignments[POKOJ]=$A$8)*(Assignments[DATUM PŘÍJEZDU]&lt;=L25)*(Assignments[DATUM ODJEZDU]&gt;L25), 0)), "")</f>
        <v/>
      </c>
      <c r="V28" s="11" t="str">
        <f t="array" aca="1" ref="V28" ca="1">IFERROR(INDEX(Assignments[JMÉNO A PŘÍJMENÍ], MATCH(1, (Assignments[POKOJ]=$A$8)*(Assignments[DATUM PŘÍJEZDU]&lt;M25)*(Assignments[DATUM ODJEZDU]&gt;=M25), 0)), "")</f>
        <v/>
      </c>
      <c r="W28" s="11" t="str">
        <f t="array" aca="1" ref="W28" ca="1">IFERROR(INDEX(Assignments[JMÉNO A PŘÍJMENÍ], MATCH(1, (Assignments[POKOJ]=$A$8)*(Assignments[DATUM PŘÍJEZDU]&lt;=M25)*(Assignments[DATUM ODJEZDU]&gt;M25), 0)), "")</f>
        <v/>
      </c>
      <c r="X28" s="11" t="str">
        <f t="array" aca="1" ref="X28" ca="1">IFERROR(INDEX(Assignments[JMÉNO A PŘÍJMENÍ], MATCH(1, (Assignments[POKOJ]=$A$8)*(Assignments[DATUM PŘÍJEZDU]&lt;N25)*(Assignments[DATUM ODJEZDU]&gt;=N25), 0)), "")</f>
        <v/>
      </c>
      <c r="Y28" s="11" t="str">
        <f t="array" aca="1" ref="Y28" ca="1">IFERROR(INDEX(Assignments[JMÉNO A PŘÍJMENÍ], MATCH(1, (Assignments[POKOJ]=$A$8)*(Assignments[DATUM PŘÍJEZDU]&lt;=N25)*(Assignments[DATUM ODJEZDU]&gt;N25), 0)), "")</f>
        <v/>
      </c>
      <c r="Z28" s="11" t="str">
        <f t="array" aca="1" ref="Z28" ca="1">IFERROR(INDEX(Assignments[JMÉNO A PŘÍJMENÍ], MATCH(1, (Assignments[POKOJ]=$A$8)*(Assignments[DATUM PŘÍJEZDU]&lt;O25)*(Assignments[DATUM ODJEZDU]&gt;=O25), 0)), "")</f>
        <v/>
      </c>
      <c r="AA28" s="11" t="str">
        <f t="array" aca="1" ref="AA28" ca="1">IFERROR(INDEX(Assignments[JMÉNO A PŘÍJMENÍ], MATCH(1, (Assignments[POKOJ]=$A$8)*(Assignments[DATUM PŘÍJEZDU]&lt;=O25)*(Assignments[DATUM ODJEZDU]&gt;O25), 0)), "")</f>
        <v/>
      </c>
      <c r="AB28" s="11" t="str">
        <f t="array" aca="1" ref="AB28" ca="1">IFERROR(INDEX(Assignments[JMÉNO A PŘÍJMENÍ], MATCH(1, (Assignments[POKOJ]=$A$8)*(Assignments[DATUM PŘÍJEZDU]&lt;P25)*(Assignments[DATUM ODJEZDU]&gt;=P25), 0)), "")</f>
        <v/>
      </c>
      <c r="AC28" s="11" t="str">
        <f t="array" aca="1" ref="AC28" ca="1">IFERROR(INDEX(Assignments[JMÉNO A PŘÍJMENÍ], MATCH(1, (Assignments[POKOJ]=$A$8)*(Assignments[DATUM PŘÍJEZDU]&lt;=P25)*(Assignments[DATUM ODJEZDU]&gt;P25), 0)), "")</f>
        <v/>
      </c>
      <c r="AD28" s="11" t="str">
        <f t="array" aca="1" ref="AD28" ca="1">IFERROR(INDEX(Assignments[JMÉNO A PŘÍJMENÍ], MATCH(1, (Assignments[POKOJ]=$A$8)*(Assignments[DATUM PŘÍJEZDU]&lt;Q25)*(Assignments[DATUM ODJEZDU]&gt;=Q25), 0)), "")</f>
        <v/>
      </c>
      <c r="AE28" s="11" t="str">
        <f t="array" aca="1" ref="AE28" ca="1">IFERROR(INDEX(Assignments[JMÉNO A PŘÍJMENÍ], MATCH(1, (Assignments[POKOJ]=$A$8)*(Assignments[DATUM PŘÍJEZDU]&lt;=Q25)*(Assignments[DATUM ODJEZDU]&gt;Q25), 0)), "")</f>
        <v/>
      </c>
      <c r="AF28" s="11" t="str">
        <f t="array" aca="1" ref="AF28" ca="1">IFERROR(INDEX(Assignments[JMÉNO A PŘÍJMENÍ], MATCH(1, (Assignments[POKOJ]=$A$8)*(Assignments[DATUM PŘÍJEZDU]&lt;R25)*(Assignments[DATUM ODJEZDU]&gt;=R25), 0)), "")</f>
        <v/>
      </c>
      <c r="AG28" s="11" t="str">
        <f t="array" aca="1" ref="AG28" ca="1">IFERROR(INDEX(Assignments[JMÉNO A PŘÍJMENÍ], MATCH(1, (Assignments[POKOJ]=$A$8)*(Assignments[DATUM PŘÍJEZDU]&lt;=R25)*(Assignments[DATUM ODJEZDU]&gt;R25), 0)), "")</f>
        <v/>
      </c>
    </row>
    <row r="29" spans="1:33" ht="28.2" thickTop="1" x14ac:dyDescent="0.25">
      <c r="A29" s="3"/>
      <c r="B29" s="15"/>
      <c r="C29" s="15"/>
      <c r="D29" s="15"/>
      <c r="E29" s="15"/>
      <c r="F29" s="15"/>
      <c r="G29" s="15"/>
      <c r="H29" s="15"/>
      <c r="S29" s="3"/>
      <c r="T29" s="12"/>
      <c r="U29" s="12"/>
      <c r="V29" s="12"/>
      <c r="W29" s="12"/>
      <c r="X29" s="12"/>
      <c r="Y29" s="12"/>
      <c r="Z29" s="12"/>
      <c r="AA29" s="12"/>
      <c r="AB29" s="12"/>
      <c r="AC29" s="12"/>
      <c r="AD29" s="12"/>
      <c r="AE29" s="12"/>
      <c r="AF29" s="12"/>
      <c r="AG29" s="12"/>
    </row>
  </sheetData>
  <mergeCells count="49">
    <mergeCell ref="AF5:AG5"/>
    <mergeCell ref="T5:U5"/>
    <mergeCell ref="V5:W5"/>
    <mergeCell ref="X5:Y5"/>
    <mergeCell ref="Z5:AA5"/>
    <mergeCell ref="AB5:AC5"/>
    <mergeCell ref="AD5:AE5"/>
    <mergeCell ref="AF9:AG9"/>
    <mergeCell ref="T13:U13"/>
    <mergeCell ref="V13:W13"/>
    <mergeCell ref="X13:Y13"/>
    <mergeCell ref="Z13:AA13"/>
    <mergeCell ref="AB13:AC13"/>
    <mergeCell ref="AD13:AE13"/>
    <mergeCell ref="AF13:AG13"/>
    <mergeCell ref="T9:U9"/>
    <mergeCell ref="V9:W9"/>
    <mergeCell ref="X9:Y9"/>
    <mergeCell ref="Z9:AA9"/>
    <mergeCell ref="AB9:AC9"/>
    <mergeCell ref="AD9:AE9"/>
    <mergeCell ref="AF21:AG21"/>
    <mergeCell ref="T17:U17"/>
    <mergeCell ref="V17:W17"/>
    <mergeCell ref="X17:Y17"/>
    <mergeCell ref="Z17:AA17"/>
    <mergeCell ref="AB17:AC17"/>
    <mergeCell ref="AD17:AE17"/>
    <mergeCell ref="V21:W21"/>
    <mergeCell ref="X21:Y21"/>
    <mergeCell ref="Z21:AA21"/>
    <mergeCell ref="AB21:AC21"/>
    <mergeCell ref="AD21:AE21"/>
    <mergeCell ref="AF25:AG25"/>
    <mergeCell ref="T4:U4"/>
    <mergeCell ref="V4:W4"/>
    <mergeCell ref="X4:Y4"/>
    <mergeCell ref="Z4:AA4"/>
    <mergeCell ref="AB4:AC4"/>
    <mergeCell ref="AD4:AE4"/>
    <mergeCell ref="AF4:AG4"/>
    <mergeCell ref="T25:U25"/>
    <mergeCell ref="V25:W25"/>
    <mergeCell ref="X25:Y25"/>
    <mergeCell ref="Z25:AA25"/>
    <mergeCell ref="AB25:AC25"/>
    <mergeCell ref="AD25:AE25"/>
    <mergeCell ref="AF17:AG17"/>
    <mergeCell ref="T21:U21"/>
  </mergeCells>
  <conditionalFormatting sqref="B6:H8">
    <cfRule type="containsText" dxfId="9" priority="12" operator="containsText" text=" ">
      <formula>NOT(ISERROR(SEARCH(" ",B6)))</formula>
    </cfRule>
  </conditionalFormatting>
  <conditionalFormatting sqref="B10:H12">
    <cfRule type="containsText" dxfId="8" priority="6" operator="containsText" text=" ">
      <formula>NOT(ISERROR(SEARCH(" ",B10)))</formula>
    </cfRule>
  </conditionalFormatting>
  <conditionalFormatting sqref="B14:H16">
    <cfRule type="containsText" dxfId="7" priority="5" operator="containsText" text=" ">
      <formula>NOT(ISERROR(SEARCH(" ",B14)))</formula>
    </cfRule>
  </conditionalFormatting>
  <conditionalFormatting sqref="B18:H20">
    <cfRule type="containsText" dxfId="6" priority="4" operator="containsText" text=" ">
      <formula>NOT(ISERROR(SEARCH(" ",B18)))</formula>
    </cfRule>
  </conditionalFormatting>
  <conditionalFormatting sqref="B22:H24">
    <cfRule type="containsText" dxfId="5" priority="3" operator="containsText" text=" ">
      <formula>NOT(ISERROR(SEARCH(" ",B22)))</formula>
    </cfRule>
  </conditionalFormatting>
  <conditionalFormatting sqref="B26:H28">
    <cfRule type="containsText" dxfId="4" priority="2" operator="containsText" text=" ">
      <formula>NOT(ISERROR(SEARCH(" ",B26)))</formula>
    </cfRule>
  </conditionalFormatting>
  <conditionalFormatting sqref="B6:H29">
    <cfRule type="containsText" dxfId="3" priority="1" operator="containsText" text="OBSAZENO">
      <formula>NOT(ISERROR(SEARCH("OBSAZENO",B6)))</formula>
    </cfRule>
  </conditionalFormatting>
  <dataValidations xWindow="419" yWindow="346" count="5">
    <dataValidation type="list" allowBlank="1" showErrorMessage="1" error="Select RETRY and type the full name of a month or press ALT+DOWN ARROW then ENTER to select from the provided list. Select CANCEL to exit the cell" prompt="Select a month from this dropdown to view the assignments in that month. ALT+DOWN ARROW, ENTER to select from the list or type the full name of a month in this cell" sqref="B2">
      <formula1>"Leden,Únor,Březen,Duben,Květen,Červen,Červenec,Srpen,Září,Říjen,Listopad,Prosinec"</formula1>
    </dataValidation>
    <dataValidation allowBlank="1" showErrorMessage="1" prompt="Enter the year for this calendar view" sqref="C2"/>
    <dataValidation allowBlank="1" showErrorMessage="1" prompt="Navigate to a Assignments worksheet by selecting the hyperlink in this cell" sqref="D2"/>
    <dataValidation allowBlank="1" showInputMessage="1" showErrorMessage="1" prompt="Rows 6, 8, 10, 12, 14, 16, columns B to H have days of the month in the cells" sqref="B5:H5"/>
    <dataValidation allowBlank="1" showInputMessage="1" showErrorMessage="1" prompt="Month calendar weekdays in this row from column B to H, with Sunday as the starting weekday" sqref="B4 D4 F4 H4"/>
  </dataValidations>
  <hyperlinks>
    <hyperlink ref="D2" location="Rezervace!A1" tooltip="Klikněte pro zobrazení rezervací" display="REZERVACE"/>
  </hyperlinks>
  <printOptions horizontalCentered="1" verticalCentered="1"/>
  <pageMargins left="0.25" right="0.25" top="0.75" bottom="0.75" header="0.3" footer="0.3"/>
  <pageSetup scale="67" orientation="landscape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List1">
    <tabColor theme="2" tint="-0.34998626667073579"/>
  </sheetPr>
  <dimension ref="B1:D5"/>
  <sheetViews>
    <sheetView showGridLines="0" workbookViewId="0">
      <selection activeCell="B15" sqref="B15"/>
    </sheetView>
  </sheetViews>
  <sheetFormatPr defaultRowHeight="13.8" x14ac:dyDescent="0.25"/>
  <cols>
    <col min="1" max="1" width="3.69921875" customWidth="1"/>
    <col min="2" max="4" width="18" customWidth="1"/>
  </cols>
  <sheetData>
    <row r="1" spans="2:4" ht="36.75" customHeight="1" thickBot="1" x14ac:dyDescent="0.3">
      <c r="B1" s="28" t="s">
        <v>25</v>
      </c>
      <c r="C1" s="28"/>
      <c r="D1" s="28"/>
    </row>
    <row r="2" spans="2:4" ht="21" customHeight="1" thickTop="1" x14ac:dyDescent="0.25">
      <c r="B2" s="20" t="s">
        <v>14</v>
      </c>
      <c r="C2" s="20" t="s">
        <v>23</v>
      </c>
      <c r="D2" s="20" t="s">
        <v>24</v>
      </c>
    </row>
    <row r="3" spans="2:4" ht="21" customHeight="1" x14ac:dyDescent="0.25">
      <c r="B3" t="s">
        <v>19</v>
      </c>
      <c r="C3" s="21">
        <v>100</v>
      </c>
      <c r="D3" s="21">
        <v>250</v>
      </c>
    </row>
    <row r="4" spans="2:4" ht="21" customHeight="1" x14ac:dyDescent="0.25">
      <c r="B4" t="s">
        <v>20</v>
      </c>
      <c r="C4" s="21">
        <v>100</v>
      </c>
      <c r="D4" s="21">
        <v>250</v>
      </c>
    </row>
    <row r="5" spans="2:4" ht="21" customHeight="1" x14ac:dyDescent="0.25">
      <c r="B5" t="s">
        <v>21</v>
      </c>
      <c r="C5" s="21">
        <v>100</v>
      </c>
      <c r="D5" s="21">
        <v>250</v>
      </c>
    </row>
  </sheetData>
  <mergeCells count="1">
    <mergeCell ref="B1:D1"/>
  </mergeCells>
  <pageMargins left="0.7" right="0.7" top="0.78740157499999996" bottom="0.78740157499999996" header="0.3" footer="0.3"/>
  <tableParts count="1">
    <tablePart r:id="rId1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_ip_UnifiedCompliancePolicyUIAction xmlns="http://schemas.microsoft.com/sharepoint/v3" xsi:nil="true"/>
    <Image xmlns="71af3243-3dd4-4a8d-8c0d-dd76da1f02a5">
      <Url xsi:nil="true"/>
      <Description xsi:nil="true"/>
    </Image>
    <Status xmlns="71af3243-3dd4-4a8d-8c0d-dd76da1f02a5">Not started</Status>
    <Background xmlns="71af3243-3dd4-4a8d-8c0d-dd76da1f02a5">false</Background>
    <_ip_UnifiedCompliancePolicyProperties xmlns="http://schemas.microsoft.com/sharepoint/v3" xsi:nil="true"/>
    <ImageTagsTaxHTField xmlns="71af3243-3dd4-4a8d-8c0d-dd76da1f02a5">
      <Terms xmlns="http://schemas.microsoft.com/office/infopath/2007/PartnerControls"/>
    </ImageTagsTaxHTField>
    <TaxCatchAll xmlns="230e9df3-be65-4c73-a93b-d1236ebd677e" xsi:nil="true"/>
    <MediaServiceKeyPoints xmlns="71af3243-3dd4-4a8d-8c0d-dd76da1f02a5" xsi:nil="true"/>
  </documentManagement>
</p:properties>
</file>

<file path=customXml/item2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79F111ED35F8CC479449609E8A0923A6" ma:contentTypeVersion="26" ma:contentTypeDescription="Create a new document." ma:contentTypeScope="" ma:versionID="ac37c1753acd5e330d2062ccec26ea66">
  <xsd:schema xmlns:xsd="http://www.w3.org/2001/XMLSchema" xmlns:xs="http://www.w3.org/2001/XMLSchema" xmlns:p="http://schemas.microsoft.com/office/2006/metadata/properties" xmlns:ns1="http://schemas.microsoft.com/sharepoint/v3" xmlns:ns2="71af3243-3dd4-4a8d-8c0d-dd76da1f02a5" xmlns:ns3="16c05727-aa75-4e4a-9b5f-8a80a1165891" xmlns:ns4="230e9df3-be65-4c73-a93b-d1236ebd677e" targetNamespace="http://schemas.microsoft.com/office/2006/metadata/properties" ma:root="true" ma:fieldsID="3b340c7101c92c5120abd06486f94548" ns1:_="" ns2:_="" ns3:_="" ns4:_="">
    <xsd:import namespace="http://schemas.microsoft.com/sharepoint/v3"/>
    <xsd:import namespace="71af3243-3dd4-4a8d-8c0d-dd76da1f02a5"/>
    <xsd:import namespace="16c05727-aa75-4e4a-9b5f-8a80a1165891"/>
    <xsd:import namespace="230e9df3-be65-4c73-a93b-d1236ebd677e"/>
    <xsd:element name="properties">
      <xsd:complexType>
        <xsd:sequence>
          <xsd:element name="documentManagement">
            <xsd:complexType>
              <xsd:all>
                <xsd:element ref="ns2:Status" minOccurs="0"/>
                <xsd:element ref="ns2:Image" minOccurs="0"/>
                <xsd:element ref="ns2:MediaServiceMetadata" minOccurs="0"/>
                <xsd:element ref="ns2:MediaServiceFastMetadata" minOccurs="0"/>
                <xsd:element ref="ns2:MediaServiceOCR" minOccurs="0"/>
                <xsd:element ref="ns2:MediaServiceAutoTags" minOccurs="0"/>
                <xsd:element ref="ns2:MediaServiceEventHashCode" minOccurs="0"/>
                <xsd:element ref="ns2:MediaServiceGenerationTime" minOccurs="0"/>
                <xsd:element ref="ns3:SharedWithUsers" minOccurs="0"/>
                <xsd:element ref="ns3:SharedWithDetails" minOccurs="0"/>
                <xsd:element ref="ns2:MediaServiceAutoKeyPoints" minOccurs="0"/>
                <xsd:element ref="ns2:MediaServiceKeyPoints" minOccurs="0"/>
                <xsd:element ref="ns2:MediaServiceDateTaken" minOccurs="0"/>
                <xsd:element ref="ns1:_ip_UnifiedCompliancePolicyProperties" minOccurs="0"/>
                <xsd:element ref="ns1:_ip_UnifiedCompliancePolicyUIAction" minOccurs="0"/>
                <xsd:element ref="ns4:TaxCatchAll" minOccurs="0"/>
                <xsd:element ref="ns2:ImageTagsTaxHTField" minOccurs="0"/>
                <xsd:element ref="ns2:MediaServiceLocation" minOccurs="0"/>
                <xsd:element ref="ns2:MediaLengthInSeconds" minOccurs="0"/>
                <xsd:element ref="ns2:Background" minOccurs="0"/>
                <xsd:element ref="ns2:MediaServiceSearchProperties" minOccurs="0"/>
                <xsd:element ref="ns2:MediaServiceDocTag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http://schemas.microsoft.com/sharepoint/v3" elementFormDefault="qualified">
    <xsd:import namespace="http://schemas.microsoft.com/office/2006/documentManagement/types"/>
    <xsd:import namespace="http://schemas.microsoft.com/office/infopath/2007/PartnerControls"/>
    <xsd:element name="_ip_UnifiedCompliancePolicyProperties" ma:index="20" nillable="true" ma:displayName="Unified Compliance Policy Properties" ma:hidden="true" ma:internalName="_ip_UnifiedCompliancePolicyProperties" ma:readOnly="false">
      <xsd:simpleType>
        <xsd:restriction base="dms:Note"/>
      </xsd:simpleType>
    </xsd:element>
    <xsd:element name="_ip_UnifiedCompliancePolicyUIAction" ma:index="21" nillable="true" ma:displayName="Unified Compliance Policy UI Action" ma:hidden="true" ma:internalName="_ip_UnifiedCompliancePolicyUIAction" ma:readOnly="false">
      <xsd:simpleType>
        <xsd:restriction base="dms:Text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71af3243-3dd4-4a8d-8c0d-dd76da1f02a5" elementFormDefault="qualified">
    <xsd:import namespace="http://schemas.microsoft.com/office/2006/documentManagement/types"/>
    <xsd:import namespace="http://schemas.microsoft.com/office/infopath/2007/PartnerControls"/>
    <xsd:element name="Status" ma:index="2" nillable="true" ma:displayName="Status" ma:default="Not started" ma:format="Dropdown" ma:internalName="Status" ma:readOnly="false">
      <xsd:simpleType>
        <xsd:restriction base="dms:Choice">
          <xsd:enumeration value="Not started"/>
          <xsd:enumeration value="In Progress"/>
          <xsd:enumeration value="Completed"/>
        </xsd:restriction>
      </xsd:simpleType>
    </xsd:element>
    <xsd:element name="Image" ma:index="3" nillable="true" ma:displayName="Image" ma:format="Image" ma:internalName="Image" ma:readOnly="false">
      <xsd:complexType>
        <xsd:complexContent>
          <xsd:extension base="dms:URL">
            <xsd:sequence>
              <xsd:element name="Url" type="dms:ValidUrl" minOccurs="0" nillable="true"/>
              <xsd:element name="Description" type="xsd:string" nillable="true"/>
            </xsd:sequence>
          </xsd:extension>
        </xsd:complexContent>
      </xsd:complexType>
    </xsd:element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OCR" ma:index="10" nillable="true" ma:displayName="MediaServiceOCR" ma:hidden="true" ma:internalName="MediaServiceOCR" ma:readOnly="true">
      <xsd:simpleType>
        <xsd:restriction base="dms:Note"/>
      </xsd:simpleType>
    </xsd:element>
    <xsd:element name="MediaServiceAutoTags" ma:index="11" nillable="true" ma:displayName="MediaServiceAutoTags" ma:hidden="true" ma:internalName="MediaServiceAutoTags" ma:readOnly="true">
      <xsd:simpleType>
        <xsd:restriction base="dms:Text"/>
      </xsd:simpleType>
    </xsd:element>
    <xsd:element name="MediaServiceEventHashCode" ma:index="12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GenerationTime" ma:index="13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AutoKeyPoints" ma:index="16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17" nillable="true" ma:displayName="KeyPoints" ma:hidden="true" ma:internalName="MediaServiceKeyPoints" ma:readOnly="false">
      <xsd:simpleType>
        <xsd:restriction base="dms:Note"/>
      </xsd:simpleType>
    </xsd:element>
    <xsd:element name="MediaServiceDateTaken" ma:index="18" nillable="true" ma:displayName="MediaServiceDateTaken" ma:hidden="true" ma:internalName="MediaServiceDateTaken" ma:readOnly="true">
      <xsd:simpleType>
        <xsd:restriction base="dms:Text"/>
      </xsd:simpleType>
    </xsd:element>
    <xsd:element name="ImageTagsTaxHTField" ma:index="25" nillable="true" ma:taxonomy="true" ma:internalName="ImageTagsTaxHTField" ma:taxonomyFieldName="MediaServiceImageTags" ma:displayName="Image Tags" ma:readOnly="false" ma:fieldId="{5cf76f15-5ced-4ddc-b409-7134ff3c332f}" ma:taxonomyMulti="true" ma:sspId="e385fb40-52d4-4fae-9c5b-3e8ff8a5878e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Location" ma:index="26" nillable="true" ma:displayName="Location" ma:hidden="true" ma:internalName="MediaServiceLocation" ma:readOnly="true">
      <xsd:simpleType>
        <xsd:restriction base="dms:Text"/>
      </xsd:simpleType>
    </xsd:element>
    <xsd:element name="MediaLengthInSeconds" ma:index="27" nillable="true" ma:displayName="MediaLengthInSeconds" ma:hidden="true" ma:internalName="MediaLengthInSeconds" ma:readOnly="true">
      <xsd:simpleType>
        <xsd:restriction base="dms:Unknown"/>
      </xsd:simpleType>
    </xsd:element>
    <xsd:element name="Background" ma:index="28" nillable="true" ma:displayName="Background" ma:default="0" ma:format="Dropdown" ma:internalName="Background">
      <xsd:simpleType>
        <xsd:restriction base="dms:Boolean"/>
      </xsd:simpleType>
    </xsd:element>
    <xsd:element name="MediaServiceSearchProperties" ma:index="29" nillable="true" ma:displayName="MediaServiceSearchProperties" ma:hidden="true" ma:internalName="MediaServiceSearchProperties" ma:readOnly="true">
      <xsd:simpleType>
        <xsd:restriction base="dms:Note"/>
      </xsd:simpleType>
    </xsd:element>
    <xsd:element name="MediaServiceDocTags" ma:index="30" nillable="true" ma:displayName="MediaServiceDocTags" ma:hidden="true" ma:internalName="MediaServiceDocTags" ma:readOnly="true">
      <xsd:simpleType>
        <xsd:restriction base="dms:Note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16c05727-aa75-4e4a-9b5f-8a80a1165891" elementFormDefault="qualified">
    <xsd:import namespace="http://schemas.microsoft.com/office/2006/documentManagement/types"/>
    <xsd:import namespace="http://schemas.microsoft.com/office/infopath/2007/PartnerControls"/>
    <xsd:element name="SharedWithUsers" ma:index="14" nillable="true" ma:displayName="Shared With" ma:hidden="true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5" nillable="true" ma:displayName="Shared With Details" ma:hidden="true" ma:internalName="SharedWithDetails" ma:readOnly="true">
      <xsd:simpleType>
        <xsd:restriction base="dms:Note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230e9df3-be65-4c73-a93b-d1236ebd677e" elementFormDefault="qualified">
    <xsd:import namespace="http://schemas.microsoft.com/office/2006/documentManagement/types"/>
    <xsd:import namespace="http://schemas.microsoft.com/office/infopath/2007/PartnerControls"/>
    <xsd:element name="TaxCatchAll" ma:index="23" nillable="true" ma:displayName="Taxonomy Catch All Column" ma:hidden="true" ma:list="{3f6bfcbc-3db3-4ae6-bd76-326f0798ad28}" ma:internalName="TaxCatchAll" ma:readOnly="false" ma:showField="CatchAllData" ma:web="16c05727-aa75-4e4a-9b5f-8a80a1165891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displayName="Content Type"/>
        <xsd:element ref="dc:title" minOccurs="0" maxOccurs="1" ma:index="1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3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Props1.xml><?xml version="1.0" encoding="utf-8"?>
<ds:datastoreItem xmlns:ds="http://schemas.openxmlformats.org/officeDocument/2006/customXml" ds:itemID="{EF84877B-8312-4DC4-9D3F-0FBDCCE2557D}">
  <ds:schemaRefs>
    <ds:schemaRef ds:uri="http://purl.org/dc/dcmitype/"/>
    <ds:schemaRef ds:uri="http://schemas.microsoft.com/office/infopath/2007/PartnerControls"/>
    <ds:schemaRef ds:uri="http://purl.org/dc/elements/1.1/"/>
    <ds:schemaRef ds:uri="http://schemas.microsoft.com/office/2006/metadata/properties"/>
    <ds:schemaRef ds:uri="http://schemas.microsoft.com/office/2006/documentManagement/types"/>
    <ds:schemaRef ds:uri="230e9df3-be65-4c73-a93b-d1236ebd677e"/>
    <ds:schemaRef ds:uri="http://purl.org/dc/terms/"/>
    <ds:schemaRef ds:uri="http://schemas.openxmlformats.org/package/2006/metadata/core-properties"/>
    <ds:schemaRef ds:uri="16c05727-aa75-4e4a-9b5f-8a80a1165891"/>
    <ds:schemaRef ds:uri="71af3243-3dd4-4a8d-8c0d-dd76da1f02a5"/>
    <ds:schemaRef ds:uri="http://schemas.microsoft.com/sharepoint/v3"/>
    <ds:schemaRef ds:uri="http://www.w3.org/XML/1998/namespace"/>
  </ds:schemaRefs>
</ds:datastoreItem>
</file>

<file path=customXml/itemProps2.xml><?xml version="1.0" encoding="utf-8"?>
<ds:datastoreItem xmlns:ds="http://schemas.openxmlformats.org/officeDocument/2006/customXml" ds:itemID="{24B4C3EA-23D8-4E5D-8DF9-24F3C3E4000A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http://schemas.microsoft.com/sharepoint/v3"/>
    <ds:schemaRef ds:uri="71af3243-3dd4-4a8d-8c0d-dd76da1f02a5"/>
    <ds:schemaRef ds:uri="16c05727-aa75-4e4a-9b5f-8a80a1165891"/>
    <ds:schemaRef ds:uri="230e9df3-be65-4c73-a93b-d1236ebd677e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3.xml><?xml version="1.0" encoding="utf-8"?>
<ds:datastoreItem xmlns:ds="http://schemas.openxmlformats.org/officeDocument/2006/customXml" ds:itemID="{BD9ABEB3-6D3F-4A38-A004-43438BF5BBD5}">
  <ds:schemaRefs>
    <ds:schemaRef ds:uri="http://schemas.microsoft.com/sharepoint/v3/contenttype/form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Template>TM03458077</Template>
  <Application>Microsoft Excel</Application>
  <DocSecurity>0</DocSecurity>
  <ScaleCrop>false</ScaleCrop>
  <HeadingPairs>
    <vt:vector size="4" baseType="variant">
      <vt:variant>
        <vt:lpstr>listy</vt:lpstr>
      </vt:variant>
      <vt:variant>
        <vt:i4>3</vt:i4>
      </vt:variant>
      <vt:variant>
        <vt:lpstr>Pojmenované oblasti</vt:lpstr>
      </vt:variant>
      <vt:variant>
        <vt:i4>8</vt:i4>
      </vt:variant>
    </vt:vector>
  </HeadingPairs>
  <TitlesOfParts>
    <vt:vector size="11" baseType="lpstr">
      <vt:lpstr>Rezervace</vt:lpstr>
      <vt:lpstr>Kalendář</vt:lpstr>
      <vt:lpstr>Nastavení</vt:lpstr>
      <vt:lpstr>ColumnTitle1</vt:lpstr>
      <vt:lpstr>MoMonth</vt:lpstr>
      <vt:lpstr>MoWeek2</vt:lpstr>
      <vt:lpstr>MoWeek3</vt:lpstr>
      <vt:lpstr>MoWeek4</vt:lpstr>
      <vt:lpstr>MoWeek5</vt:lpstr>
      <vt:lpstr>MoYear</vt:lpstr>
      <vt:lpstr>Rezervace!Názvy_tisku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2022-11-06T05:51:08Z</dcterms:created>
  <dcterms:modified xsi:type="dcterms:W3CDTF">2025-09-08T06:32:26Z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0x01010079F111ED35F8CC479449609E8A0923A6</vt:lpwstr>
  </property>
</Properties>
</file>